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244\Downloads\"/>
    </mc:Choice>
  </mc:AlternateContent>
  <xr:revisionPtr revIDLastSave="0" documentId="13_ncr:1_{46EE0732-6550-4112-B953-A7CC4594BB60}" xr6:coauthVersionLast="47" xr6:coauthVersionMax="47" xr10:uidLastSave="{00000000-0000-0000-0000-000000000000}"/>
  <bookViews>
    <workbookView xWindow="-120" yWindow="-120" windowWidth="29040" windowHeight="15720" xr2:uid="{2C9D100B-ACAB-43E5-A7BB-2691F16CED82}"/>
  </bookViews>
  <sheets>
    <sheet name="①オッズ入力" sheetId="1" r:id="rId1"/>
    <sheet name="②三連複計算" sheetId="2" r:id="rId2"/>
    <sheet name="③資金配分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69" i="2"/>
  <c r="H270" i="2"/>
  <c r="H271" i="2"/>
  <c r="H282" i="2"/>
  <c r="H283" i="2"/>
  <c r="H284" i="2"/>
  <c r="H294" i="2"/>
  <c r="H295" i="2"/>
  <c r="H296" i="2"/>
  <c r="H305" i="2"/>
  <c r="H306" i="2"/>
  <c r="H307" i="2"/>
  <c r="H315" i="2"/>
  <c r="H316" i="2"/>
  <c r="H317" i="2"/>
  <c r="H324" i="2"/>
  <c r="H325" i="2"/>
  <c r="H326" i="2"/>
  <c r="H332" i="2"/>
  <c r="H333" i="2"/>
  <c r="H334" i="2"/>
  <c r="H339" i="2"/>
  <c r="H340" i="2"/>
  <c r="H341" i="2"/>
  <c r="H345" i="2"/>
  <c r="H346" i="2"/>
  <c r="H347" i="2"/>
  <c r="H350" i="2"/>
  <c r="H351" i="2"/>
  <c r="H352" i="2"/>
  <c r="H354" i="2"/>
  <c r="H355" i="2"/>
  <c r="H356" i="2"/>
  <c r="H357" i="2"/>
  <c r="H358" i="2"/>
  <c r="H359" i="2"/>
  <c r="H360" i="2"/>
  <c r="H361" i="2"/>
  <c r="H362" i="2"/>
  <c r="H373" i="2"/>
  <c r="H374" i="2"/>
  <c r="H375" i="2"/>
  <c r="H385" i="2"/>
  <c r="H386" i="2"/>
  <c r="H387" i="2"/>
  <c r="H396" i="2"/>
  <c r="H397" i="2"/>
  <c r="H398" i="2"/>
  <c r="H406" i="2"/>
  <c r="H407" i="2"/>
  <c r="H408" i="2"/>
  <c r="H415" i="2"/>
  <c r="H416" i="2"/>
  <c r="H417" i="2"/>
  <c r="H423" i="2"/>
  <c r="H424" i="2"/>
  <c r="H425" i="2"/>
  <c r="H430" i="2"/>
  <c r="H431" i="2"/>
  <c r="H432" i="2"/>
  <c r="H436" i="2"/>
  <c r="H437" i="2"/>
  <c r="H438" i="2"/>
  <c r="H441" i="2"/>
  <c r="H442" i="2"/>
  <c r="H443" i="2"/>
  <c r="H445" i="2"/>
  <c r="H446" i="2"/>
  <c r="H447" i="2"/>
  <c r="H448" i="2"/>
  <c r="H449" i="2"/>
  <c r="H450" i="2"/>
  <c r="H451" i="2"/>
  <c r="H452" i="2"/>
  <c r="H453" i="2"/>
  <c r="H463" i="2"/>
  <c r="H464" i="2"/>
  <c r="H465" i="2"/>
  <c r="H474" i="2"/>
  <c r="H475" i="2"/>
  <c r="H476" i="2"/>
  <c r="H484" i="2"/>
  <c r="H485" i="2"/>
  <c r="H486" i="2"/>
  <c r="H493" i="2"/>
  <c r="H494" i="2"/>
  <c r="H495" i="2"/>
  <c r="H501" i="2"/>
  <c r="H502" i="2"/>
  <c r="H503" i="2"/>
  <c r="H508" i="2"/>
  <c r="H509" i="2"/>
  <c r="H510" i="2"/>
  <c r="H514" i="2"/>
  <c r="H515" i="2"/>
  <c r="H516" i="2"/>
  <c r="H519" i="2"/>
  <c r="H520" i="2"/>
  <c r="H521" i="2"/>
  <c r="H523" i="2"/>
  <c r="H524" i="2"/>
  <c r="H525" i="2"/>
  <c r="H526" i="2"/>
  <c r="H527" i="2"/>
  <c r="H528" i="2"/>
  <c r="H529" i="2"/>
  <c r="H530" i="2"/>
  <c r="H531" i="2"/>
  <c r="H540" i="2"/>
  <c r="H541" i="2"/>
  <c r="H542" i="2"/>
  <c r="H550" i="2"/>
  <c r="H551" i="2"/>
  <c r="H552" i="2"/>
  <c r="H559" i="2"/>
  <c r="H560" i="2"/>
  <c r="H561" i="2"/>
  <c r="H567" i="2"/>
  <c r="H568" i="2"/>
  <c r="H569" i="2"/>
  <c r="H574" i="2"/>
  <c r="H575" i="2"/>
  <c r="H576" i="2"/>
  <c r="H580" i="2"/>
  <c r="H581" i="2"/>
  <c r="H582" i="2"/>
  <c r="H585" i="2"/>
  <c r="H586" i="2"/>
  <c r="H587" i="2"/>
  <c r="H589" i="2"/>
  <c r="H590" i="2"/>
  <c r="H591" i="2"/>
  <c r="H592" i="2"/>
  <c r="H593" i="2"/>
  <c r="H594" i="2"/>
  <c r="H595" i="2"/>
  <c r="H596" i="2"/>
  <c r="H597" i="2"/>
  <c r="H605" i="2"/>
  <c r="H606" i="2"/>
  <c r="H607" i="2"/>
  <c r="H614" i="2"/>
  <c r="H615" i="2"/>
  <c r="H616" i="2"/>
  <c r="H622" i="2"/>
  <c r="H623" i="2"/>
  <c r="H624" i="2"/>
  <c r="H629" i="2"/>
  <c r="H630" i="2"/>
  <c r="H631" i="2"/>
  <c r="H635" i="2"/>
  <c r="H636" i="2"/>
  <c r="H637" i="2"/>
  <c r="H640" i="2"/>
  <c r="H641" i="2"/>
  <c r="H642" i="2"/>
  <c r="H644" i="2"/>
  <c r="H645" i="2"/>
  <c r="H646" i="2"/>
  <c r="H647" i="2"/>
  <c r="H648" i="2"/>
  <c r="H649" i="2"/>
  <c r="H650" i="2"/>
  <c r="H651" i="2"/>
  <c r="H652" i="2"/>
  <c r="H659" i="2"/>
  <c r="H660" i="2"/>
  <c r="H661" i="2"/>
  <c r="H667" i="2"/>
  <c r="H668" i="2"/>
  <c r="H669" i="2"/>
  <c r="H674" i="2"/>
  <c r="H675" i="2"/>
  <c r="H676" i="2"/>
  <c r="H680" i="2"/>
  <c r="H681" i="2"/>
  <c r="H682" i="2"/>
  <c r="H685" i="2"/>
  <c r="H686" i="2"/>
  <c r="H687" i="2"/>
  <c r="H689" i="2"/>
  <c r="H690" i="2"/>
  <c r="H691" i="2"/>
  <c r="H692" i="2"/>
  <c r="H693" i="2"/>
  <c r="H694" i="2"/>
  <c r="H695" i="2"/>
  <c r="H696" i="2"/>
  <c r="H697" i="2"/>
  <c r="H703" i="2"/>
  <c r="H704" i="2"/>
  <c r="H705" i="2"/>
  <c r="H710" i="2"/>
  <c r="H711" i="2"/>
  <c r="H712" i="2"/>
  <c r="H716" i="2"/>
  <c r="H717" i="2"/>
  <c r="H718" i="2"/>
  <c r="H721" i="2"/>
  <c r="H722" i="2"/>
  <c r="H723" i="2"/>
  <c r="H725" i="2"/>
  <c r="H726" i="2"/>
  <c r="H727" i="2"/>
  <c r="H728" i="2"/>
  <c r="H729" i="2"/>
  <c r="H730" i="2"/>
  <c r="H731" i="2"/>
  <c r="H732" i="2"/>
  <c r="H733" i="2"/>
  <c r="H738" i="2"/>
  <c r="H739" i="2"/>
  <c r="H740" i="2"/>
  <c r="H744" i="2"/>
  <c r="H745" i="2"/>
  <c r="H746" i="2"/>
  <c r="H749" i="2"/>
  <c r="H750" i="2"/>
  <c r="H751" i="2"/>
  <c r="H753" i="2"/>
  <c r="H754" i="2"/>
  <c r="H755" i="2"/>
  <c r="H756" i="2"/>
  <c r="H757" i="2"/>
  <c r="H758" i="2"/>
  <c r="H759" i="2"/>
  <c r="H760" i="2"/>
  <c r="H761" i="2"/>
  <c r="H765" i="2"/>
  <c r="H766" i="2"/>
  <c r="H767" i="2"/>
  <c r="H770" i="2"/>
  <c r="H771" i="2"/>
  <c r="H772" i="2"/>
  <c r="H774" i="2"/>
  <c r="H775" i="2"/>
  <c r="H776" i="2"/>
  <c r="H777" i="2"/>
  <c r="H778" i="2"/>
  <c r="H779" i="2"/>
  <c r="H780" i="2"/>
  <c r="H781" i="2"/>
  <c r="H782" i="2"/>
  <c r="H785" i="2"/>
  <c r="H786" i="2"/>
  <c r="H787" i="2"/>
  <c r="H789" i="2"/>
  <c r="H790" i="2"/>
  <c r="H791" i="2"/>
  <c r="H792" i="2"/>
  <c r="H793" i="2"/>
  <c r="H794" i="2"/>
  <c r="H795" i="2"/>
  <c r="H796" i="2"/>
  <c r="H797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2" i="2"/>
  <c r="B8" i="3"/>
  <c r="H259" i="2" s="1"/>
  <c r="D6" i="3" a="1"/>
  <c r="D6" i="3" s="1"/>
  <c r="D5" i="3" a="1"/>
  <c r="D5" i="3" s="1"/>
  <c r="D4" i="3" a="1"/>
  <c r="D4" i="3" s="1"/>
  <c r="D2" i="3"/>
  <c r="D1" i="3"/>
  <c r="B3" i="3"/>
  <c r="B4" i="3" s="1"/>
  <c r="B6" i="3" s="1"/>
  <c r="B7" i="3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H634" i="2" l="1"/>
  <c r="H578" i="2"/>
  <c r="H482" i="2"/>
  <c r="H434" i="2"/>
  <c r="H370" i="2"/>
  <c r="H314" i="2"/>
  <c r="H266" i="2"/>
  <c r="H769" i="2"/>
  <c r="H737" i="2"/>
  <c r="H713" i="2"/>
  <c r="H673" i="2"/>
  <c r="H665" i="2"/>
  <c r="H657" i="2"/>
  <c r="H633" i="2"/>
  <c r="H625" i="2"/>
  <c r="H617" i="2"/>
  <c r="H609" i="2"/>
  <c r="H601" i="2"/>
  <c r="H577" i="2"/>
  <c r="H553" i="2"/>
  <c r="H545" i="2"/>
  <c r="H537" i="2"/>
  <c r="H513" i="2"/>
  <c r="H505" i="2"/>
  <c r="H497" i="2"/>
  <c r="H489" i="2"/>
  <c r="H481" i="2"/>
  <c r="H473" i="2"/>
  <c r="H457" i="2"/>
  <c r="H433" i="2"/>
  <c r="H409" i="2"/>
  <c r="H401" i="2"/>
  <c r="H393" i="2"/>
  <c r="H377" i="2"/>
  <c r="H369" i="2"/>
  <c r="H353" i="2"/>
  <c r="H337" i="2"/>
  <c r="H329" i="2"/>
  <c r="H321" i="2"/>
  <c r="H313" i="2"/>
  <c r="H297" i="2"/>
  <c r="H289" i="2"/>
  <c r="H281" i="2"/>
  <c r="H273" i="2"/>
  <c r="H265" i="2"/>
  <c r="H762" i="2"/>
  <c r="H706" i="2"/>
  <c r="H610" i="2"/>
  <c r="H562" i="2"/>
  <c r="H498" i="2"/>
  <c r="H402" i="2"/>
  <c r="H330" i="2"/>
  <c r="H784" i="2"/>
  <c r="H768" i="2"/>
  <c r="H752" i="2"/>
  <c r="H736" i="2"/>
  <c r="H720" i="2"/>
  <c r="H688" i="2"/>
  <c r="H672" i="2"/>
  <c r="H664" i="2"/>
  <c r="H656" i="2"/>
  <c r="H632" i="2"/>
  <c r="H608" i="2"/>
  <c r="H600" i="2"/>
  <c r="H584" i="2"/>
  <c r="H544" i="2"/>
  <c r="H536" i="2"/>
  <c r="H512" i="2"/>
  <c r="H504" i="2"/>
  <c r="H496" i="2"/>
  <c r="H488" i="2"/>
  <c r="H480" i="2"/>
  <c r="H472" i="2"/>
  <c r="H456" i="2"/>
  <c r="H440" i="2"/>
  <c r="H400" i="2"/>
  <c r="H392" i="2"/>
  <c r="H384" i="2"/>
  <c r="H376" i="2"/>
  <c r="H368" i="2"/>
  <c r="H344" i="2"/>
  <c r="H336" i="2"/>
  <c r="H328" i="2"/>
  <c r="H320" i="2"/>
  <c r="H312" i="2"/>
  <c r="H304" i="2"/>
  <c r="H288" i="2"/>
  <c r="H280" i="2"/>
  <c r="H272" i="2"/>
  <c r="H264" i="2"/>
  <c r="H618" i="2"/>
  <c r="H570" i="2"/>
  <c r="H522" i="2"/>
  <c r="H458" i="2"/>
  <c r="H410" i="2"/>
  <c r="H322" i="2"/>
  <c r="H258" i="2"/>
  <c r="H743" i="2"/>
  <c r="H735" i="2"/>
  <c r="H719" i="2"/>
  <c r="H679" i="2"/>
  <c r="H671" i="2"/>
  <c r="H663" i="2"/>
  <c r="H655" i="2"/>
  <c r="H639" i="2"/>
  <c r="H599" i="2"/>
  <c r="H583" i="2"/>
  <c r="H543" i="2"/>
  <c r="H535" i="2"/>
  <c r="H511" i="2"/>
  <c r="H487" i="2"/>
  <c r="H479" i="2"/>
  <c r="H471" i="2"/>
  <c r="H455" i="2"/>
  <c r="H439" i="2"/>
  <c r="H399" i="2"/>
  <c r="H391" i="2"/>
  <c r="H383" i="2"/>
  <c r="H367" i="2"/>
  <c r="H343" i="2"/>
  <c r="H335" i="2"/>
  <c r="H327" i="2"/>
  <c r="H319" i="2"/>
  <c r="H311" i="2"/>
  <c r="H303" i="2"/>
  <c r="H287" i="2"/>
  <c r="H279" i="2"/>
  <c r="H263" i="2"/>
  <c r="H658" i="2"/>
  <c r="H602" i="2"/>
  <c r="H554" i="2"/>
  <c r="H490" i="2"/>
  <c r="H394" i="2"/>
  <c r="H338" i="2"/>
  <c r="H290" i="2"/>
  <c r="H798" i="2"/>
  <c r="H734" i="2"/>
  <c r="H702" i="2"/>
  <c r="H678" i="2"/>
  <c r="H670" i="2"/>
  <c r="H662" i="2"/>
  <c r="H654" i="2"/>
  <c r="H638" i="2"/>
  <c r="H598" i="2"/>
  <c r="H566" i="2"/>
  <c r="H558" i="2"/>
  <c r="H534" i="2"/>
  <c r="H518" i="2"/>
  <c r="H478" i="2"/>
  <c r="H470" i="2"/>
  <c r="H462" i="2"/>
  <c r="H454" i="2"/>
  <c r="H422" i="2"/>
  <c r="H414" i="2"/>
  <c r="H390" i="2"/>
  <c r="H382" i="2"/>
  <c r="H366" i="2"/>
  <c r="H342" i="2"/>
  <c r="H318" i="2"/>
  <c r="H310" i="2"/>
  <c r="H302" i="2"/>
  <c r="H286" i="2"/>
  <c r="H278" i="2"/>
  <c r="H262" i="2"/>
  <c r="H714" i="2"/>
  <c r="H546" i="2"/>
  <c r="H426" i="2"/>
  <c r="H274" i="2"/>
  <c r="H783" i="2"/>
  <c r="H742" i="2"/>
  <c r="H773" i="2"/>
  <c r="H741" i="2"/>
  <c r="H709" i="2"/>
  <c r="H701" i="2"/>
  <c r="H677" i="2"/>
  <c r="H653" i="2"/>
  <c r="H621" i="2"/>
  <c r="H613" i="2"/>
  <c r="H573" i="2"/>
  <c r="H565" i="2"/>
  <c r="H557" i="2"/>
  <c r="H549" i="2"/>
  <c r="H533" i="2"/>
  <c r="H517" i="2"/>
  <c r="H477" i="2"/>
  <c r="H469" i="2"/>
  <c r="H461" i="2"/>
  <c r="H429" i="2"/>
  <c r="H421" i="2"/>
  <c r="H413" i="2"/>
  <c r="H405" i="2"/>
  <c r="H389" i="2"/>
  <c r="H381" i="2"/>
  <c r="H365" i="2"/>
  <c r="H349" i="2"/>
  <c r="H309" i="2"/>
  <c r="H301" i="2"/>
  <c r="H293" i="2"/>
  <c r="H285" i="2"/>
  <c r="H277" i="2"/>
  <c r="H261" i="2"/>
  <c r="H698" i="2"/>
  <c r="H666" i="2"/>
  <c r="H626" i="2"/>
  <c r="H538" i="2"/>
  <c r="H506" i="2"/>
  <c r="H466" i="2"/>
  <c r="H418" i="2"/>
  <c r="H378" i="2"/>
  <c r="H298" i="2"/>
  <c r="H788" i="2"/>
  <c r="H764" i="2"/>
  <c r="H748" i="2"/>
  <c r="H724" i="2"/>
  <c r="H708" i="2"/>
  <c r="H700" i="2"/>
  <c r="H684" i="2"/>
  <c r="H628" i="2"/>
  <c r="H620" i="2"/>
  <c r="H612" i="2"/>
  <c r="H604" i="2"/>
  <c r="H588" i="2"/>
  <c r="H572" i="2"/>
  <c r="H564" i="2"/>
  <c r="H556" i="2"/>
  <c r="H548" i="2"/>
  <c r="H532" i="2"/>
  <c r="H500" i="2"/>
  <c r="H492" i="2"/>
  <c r="H468" i="2"/>
  <c r="H460" i="2"/>
  <c r="H444" i="2"/>
  <c r="H428" i="2"/>
  <c r="H420" i="2"/>
  <c r="H412" i="2"/>
  <c r="H404" i="2"/>
  <c r="H388" i="2"/>
  <c r="H380" i="2"/>
  <c r="H372" i="2"/>
  <c r="H364" i="2"/>
  <c r="H348" i="2"/>
  <c r="H308" i="2"/>
  <c r="H300" i="2"/>
  <c r="H292" i="2"/>
  <c r="H276" i="2"/>
  <c r="H268" i="2"/>
  <c r="H260" i="2"/>
  <c r="H763" i="2"/>
  <c r="H747" i="2"/>
  <c r="H715" i="2"/>
  <c r="H707" i="2"/>
  <c r="H699" i="2"/>
  <c r="H683" i="2"/>
  <c r="H643" i="2"/>
  <c r="H627" i="2"/>
  <c r="H619" i="2"/>
  <c r="H611" i="2"/>
  <c r="H603" i="2"/>
  <c r="H579" i="2"/>
  <c r="H571" i="2"/>
  <c r="H563" i="2"/>
  <c r="H555" i="2"/>
  <c r="H547" i="2"/>
  <c r="H539" i="2"/>
  <c r="H507" i="2"/>
  <c r="H499" i="2"/>
  <c r="H491" i="2"/>
  <c r="H483" i="2"/>
  <c r="H467" i="2"/>
  <c r="H459" i="2"/>
  <c r="H435" i="2"/>
  <c r="H427" i="2"/>
  <c r="H419" i="2"/>
  <c r="H411" i="2"/>
  <c r="H403" i="2"/>
  <c r="H395" i="2"/>
  <c r="H379" i="2"/>
  <c r="H371" i="2"/>
  <c r="H363" i="2"/>
  <c r="H331" i="2"/>
  <c r="H323" i="2"/>
  <c r="H299" i="2"/>
  <c r="H291" i="2"/>
  <c r="H275" i="2"/>
  <c r="H267" i="2"/>
  <c r="D13" i="1"/>
  <c r="D5" i="1"/>
  <c r="D12" i="1"/>
  <c r="D2" i="1"/>
  <c r="D15" i="1"/>
  <c r="D16" i="1"/>
  <c r="D4" i="1"/>
  <c r="D17" i="1"/>
  <c r="D14" i="1"/>
  <c r="D6" i="1"/>
  <c r="D19" i="1"/>
  <c r="D11" i="1"/>
  <c r="D3" i="1"/>
  <c r="D18" i="1"/>
  <c r="D10" i="1"/>
  <c r="D8" i="1"/>
  <c r="D9" i="1"/>
  <c r="D7" i="1"/>
  <c r="F63" i="2" l="1"/>
  <c r="F183" i="2"/>
  <c r="F263" i="2"/>
  <c r="F367" i="2"/>
  <c r="F487" i="2"/>
  <c r="F24" i="2"/>
  <c r="F144" i="2"/>
  <c r="F288" i="2"/>
  <c r="F400" i="2"/>
  <c r="F9" i="2"/>
  <c r="F74" i="2"/>
  <c r="F194" i="2"/>
  <c r="F51" i="2"/>
  <c r="F171" i="2"/>
  <c r="F299" i="2"/>
  <c r="F379" i="2"/>
  <c r="F84" i="2"/>
  <c r="F204" i="2"/>
  <c r="F276" i="2"/>
  <c r="F468" i="2"/>
  <c r="F93" i="2"/>
  <c r="F213" i="2"/>
  <c r="F309" i="2"/>
  <c r="F38" i="2"/>
  <c r="F158" i="2"/>
  <c r="F599" i="2"/>
  <c r="E103" i="2"/>
  <c r="E223" i="2"/>
  <c r="E327" i="2"/>
  <c r="E423" i="2"/>
  <c r="E503" i="2"/>
  <c r="E567" i="2"/>
  <c r="E623" i="2"/>
  <c r="E663" i="2"/>
  <c r="E703" i="2"/>
  <c r="F390" i="2"/>
  <c r="F544" i="2"/>
  <c r="F608" i="2"/>
  <c r="E104" i="2"/>
  <c r="E224" i="2"/>
  <c r="E328" i="2"/>
  <c r="E424" i="2"/>
  <c r="E496" i="2"/>
  <c r="E568" i="2"/>
  <c r="E624" i="2"/>
  <c r="E664" i="2"/>
  <c r="E704" i="2"/>
  <c r="F553" i="2"/>
  <c r="E105" i="2"/>
  <c r="E225" i="2"/>
  <c r="E329" i="2"/>
  <c r="E425" i="2"/>
  <c r="E497" i="2"/>
  <c r="E569" i="2"/>
  <c r="E617" i="2"/>
  <c r="E665" i="2"/>
  <c r="E705" i="2"/>
  <c r="E106" i="2"/>
  <c r="E226" i="2"/>
  <c r="E330" i="2"/>
  <c r="E418" i="2"/>
  <c r="E498" i="2"/>
  <c r="E562" i="2"/>
  <c r="E618" i="2"/>
  <c r="E666" i="2"/>
  <c r="E698" i="2"/>
  <c r="E107" i="2"/>
  <c r="E227" i="2"/>
  <c r="E331" i="2"/>
  <c r="E419" i="2"/>
  <c r="E499" i="2"/>
  <c r="E563" i="2"/>
  <c r="E619" i="2"/>
  <c r="E667" i="2"/>
  <c r="E699" i="2"/>
  <c r="E108" i="2"/>
  <c r="E228" i="2"/>
  <c r="E332" i="2"/>
  <c r="E420" i="2"/>
  <c r="E500" i="2"/>
  <c r="E564" i="2"/>
  <c r="E620" i="2"/>
  <c r="E668" i="2"/>
  <c r="E700" i="2"/>
  <c r="F409" i="2"/>
  <c r="F653" i="2"/>
  <c r="E109" i="2"/>
  <c r="E229" i="2"/>
  <c r="E333" i="2"/>
  <c r="E421" i="2"/>
  <c r="E501" i="2"/>
  <c r="E565" i="2"/>
  <c r="E621" i="2"/>
  <c r="E669" i="2"/>
  <c r="E701" i="2"/>
  <c r="F318" i="2"/>
  <c r="F457" i="2"/>
  <c r="F478" i="2"/>
  <c r="F534" i="2"/>
  <c r="E102" i="2"/>
  <c r="E222" i="2"/>
  <c r="E334" i="2"/>
  <c r="E422" i="2"/>
  <c r="E502" i="2"/>
  <c r="E566" i="2"/>
  <c r="E622" i="2"/>
  <c r="E662" i="2"/>
  <c r="E702" i="2"/>
  <c r="D736" i="2"/>
  <c r="D744" i="2"/>
  <c r="D752" i="2"/>
  <c r="D760" i="2"/>
  <c r="D737" i="2"/>
  <c r="D745" i="2"/>
  <c r="D753" i="2"/>
  <c r="D761" i="2"/>
  <c r="D738" i="2"/>
  <c r="D746" i="2"/>
  <c r="D754" i="2"/>
  <c r="D739" i="2"/>
  <c r="D747" i="2"/>
  <c r="D755" i="2"/>
  <c r="D740" i="2"/>
  <c r="D748" i="2"/>
  <c r="D756" i="2"/>
  <c r="D741" i="2"/>
  <c r="D749" i="2"/>
  <c r="D757" i="2"/>
  <c r="D734" i="2"/>
  <c r="D742" i="2"/>
  <c r="D750" i="2"/>
  <c r="D758" i="2"/>
  <c r="D735" i="2"/>
  <c r="D743" i="2"/>
  <c r="D751" i="2"/>
  <c r="D759" i="2"/>
  <c r="F39" i="2"/>
  <c r="F159" i="2"/>
  <c r="F319" i="2"/>
  <c r="F327" i="2"/>
  <c r="F391" i="2"/>
  <c r="F479" i="2"/>
  <c r="F64" i="2"/>
  <c r="F184" i="2"/>
  <c r="F264" i="2"/>
  <c r="F368" i="2"/>
  <c r="F488" i="2"/>
  <c r="F496" i="2"/>
  <c r="F25" i="2"/>
  <c r="F145" i="2"/>
  <c r="F10" i="2"/>
  <c r="F410" i="2"/>
  <c r="F418" i="2"/>
  <c r="F458" i="2"/>
  <c r="F75" i="2"/>
  <c r="F195" i="2"/>
  <c r="F52" i="2"/>
  <c r="F172" i="2"/>
  <c r="F300" i="2"/>
  <c r="F380" i="2"/>
  <c r="F85" i="2"/>
  <c r="F205" i="2"/>
  <c r="F277" i="2"/>
  <c r="F94" i="2"/>
  <c r="F102" i="2"/>
  <c r="F214" i="2"/>
  <c r="F222" i="2"/>
  <c r="F535" i="2"/>
  <c r="E111" i="2"/>
  <c r="E231" i="2"/>
  <c r="E335" i="2"/>
  <c r="E431" i="2"/>
  <c r="E575" i="2"/>
  <c r="E631" i="2"/>
  <c r="E671" i="2"/>
  <c r="E711" i="2"/>
  <c r="E735" i="2"/>
  <c r="F600" i="2"/>
  <c r="E112" i="2"/>
  <c r="E232" i="2"/>
  <c r="E336" i="2"/>
  <c r="E432" i="2"/>
  <c r="E504" i="2"/>
  <c r="E576" i="2"/>
  <c r="E672" i="2"/>
  <c r="E712" i="2"/>
  <c r="E736" i="2"/>
  <c r="F289" i="2"/>
  <c r="F545" i="2"/>
  <c r="F609" i="2"/>
  <c r="F617" i="2"/>
  <c r="E113" i="2"/>
  <c r="E233" i="2"/>
  <c r="E337" i="2"/>
  <c r="E505" i="2"/>
  <c r="E625" i="2"/>
  <c r="E673" i="2"/>
  <c r="E737" i="2"/>
  <c r="F469" i="2"/>
  <c r="F554" i="2"/>
  <c r="F562" i="2"/>
  <c r="F698" i="2"/>
  <c r="E114" i="2"/>
  <c r="E234" i="2"/>
  <c r="E338" i="2"/>
  <c r="E426" i="2"/>
  <c r="E506" i="2"/>
  <c r="E570" i="2"/>
  <c r="E626" i="2"/>
  <c r="E674" i="2"/>
  <c r="E706" i="2"/>
  <c r="E738" i="2"/>
  <c r="F401" i="2"/>
  <c r="E115" i="2"/>
  <c r="E235" i="2"/>
  <c r="E339" i="2"/>
  <c r="E427" i="2"/>
  <c r="E507" i="2"/>
  <c r="E571" i="2"/>
  <c r="E627" i="2"/>
  <c r="E675" i="2"/>
  <c r="E707" i="2"/>
  <c r="E739" i="2"/>
  <c r="F310" i="2"/>
  <c r="E116" i="2"/>
  <c r="E236" i="2"/>
  <c r="E340" i="2"/>
  <c r="E428" i="2"/>
  <c r="E508" i="2"/>
  <c r="E572" i="2"/>
  <c r="E628" i="2"/>
  <c r="E676" i="2"/>
  <c r="E708" i="2"/>
  <c r="E740" i="2"/>
  <c r="E341" i="2"/>
  <c r="E429" i="2"/>
  <c r="E509" i="2"/>
  <c r="E573" i="2"/>
  <c r="E629" i="2"/>
  <c r="E709" i="2"/>
  <c r="F654" i="2"/>
  <c r="F662" i="2"/>
  <c r="E110" i="2"/>
  <c r="E230" i="2"/>
  <c r="E430" i="2"/>
  <c r="E510" i="2"/>
  <c r="E574" i="2"/>
  <c r="E630" i="2"/>
  <c r="E670" i="2"/>
  <c r="E710" i="2"/>
  <c r="E734" i="2"/>
  <c r="D768" i="2"/>
  <c r="D776" i="2"/>
  <c r="D769" i="2"/>
  <c r="D777" i="2"/>
  <c r="D762" i="2"/>
  <c r="D770" i="2"/>
  <c r="D778" i="2"/>
  <c r="D763" i="2"/>
  <c r="D771" i="2"/>
  <c r="D779" i="2"/>
  <c r="D764" i="2"/>
  <c r="D772" i="2"/>
  <c r="D780" i="2"/>
  <c r="D765" i="2"/>
  <c r="D773" i="2"/>
  <c r="D781" i="2"/>
  <c r="D766" i="2"/>
  <c r="D774" i="2"/>
  <c r="D782" i="2"/>
  <c r="D767" i="2"/>
  <c r="D775" i="2"/>
  <c r="F18" i="2"/>
  <c r="F138" i="2"/>
  <c r="F3" i="2"/>
  <c r="E39" i="2"/>
  <c r="E159" i="2"/>
  <c r="E263" i="2"/>
  <c r="E271" i="2"/>
  <c r="E40" i="2"/>
  <c r="E160" i="2"/>
  <c r="E264" i="2"/>
  <c r="E33" i="2"/>
  <c r="E41" i="2"/>
  <c r="E153" i="2"/>
  <c r="E161" i="2"/>
  <c r="E265" i="2"/>
  <c r="E34" i="2"/>
  <c r="E42" i="2"/>
  <c r="E154" i="2"/>
  <c r="E162" i="2"/>
  <c r="E258" i="2"/>
  <c r="E266" i="2"/>
  <c r="E35" i="2"/>
  <c r="E43" i="2"/>
  <c r="E155" i="2"/>
  <c r="E163" i="2"/>
  <c r="E259" i="2"/>
  <c r="E267" i="2"/>
  <c r="E36" i="2"/>
  <c r="E44" i="2"/>
  <c r="E156" i="2"/>
  <c r="E164" i="2"/>
  <c r="E260" i="2"/>
  <c r="E268" i="2"/>
  <c r="E37" i="2"/>
  <c r="E45" i="2"/>
  <c r="E157" i="2"/>
  <c r="E165" i="2"/>
  <c r="E261" i="2"/>
  <c r="E269" i="2"/>
  <c r="E38" i="2"/>
  <c r="E46" i="2"/>
  <c r="E158" i="2"/>
  <c r="E166" i="2"/>
  <c r="E262" i="2"/>
  <c r="E270" i="2"/>
  <c r="D368" i="2"/>
  <c r="D376" i="2"/>
  <c r="D384" i="2"/>
  <c r="D392" i="2"/>
  <c r="D400" i="2"/>
  <c r="D408" i="2"/>
  <c r="D416" i="2"/>
  <c r="D424" i="2"/>
  <c r="D432" i="2"/>
  <c r="D440" i="2"/>
  <c r="D448" i="2"/>
  <c r="D369" i="2"/>
  <c r="D377" i="2"/>
  <c r="D385" i="2"/>
  <c r="D393" i="2"/>
  <c r="D401" i="2"/>
  <c r="D409" i="2"/>
  <c r="D417" i="2"/>
  <c r="D425" i="2"/>
  <c r="D433" i="2"/>
  <c r="D441" i="2"/>
  <c r="D449" i="2"/>
  <c r="D370" i="2"/>
  <c r="D378" i="2"/>
  <c r="D386" i="2"/>
  <c r="D394" i="2"/>
  <c r="D402" i="2"/>
  <c r="D410" i="2"/>
  <c r="D418" i="2"/>
  <c r="G418" i="2" s="1"/>
  <c r="I418" i="2" s="1"/>
  <c r="D426" i="2"/>
  <c r="D434" i="2"/>
  <c r="D442" i="2"/>
  <c r="D450" i="2"/>
  <c r="D363" i="2"/>
  <c r="D371" i="2"/>
  <c r="D379" i="2"/>
  <c r="D387" i="2"/>
  <c r="D395" i="2"/>
  <c r="D403" i="2"/>
  <c r="D411" i="2"/>
  <c r="D419" i="2"/>
  <c r="D427" i="2"/>
  <c r="D435" i="2"/>
  <c r="D443" i="2"/>
  <c r="D451" i="2"/>
  <c r="D364" i="2"/>
  <c r="D372" i="2"/>
  <c r="D380" i="2"/>
  <c r="D388" i="2"/>
  <c r="D396" i="2"/>
  <c r="D404" i="2"/>
  <c r="D412" i="2"/>
  <c r="D420" i="2"/>
  <c r="D428" i="2"/>
  <c r="D436" i="2"/>
  <c r="D444" i="2"/>
  <c r="D452" i="2"/>
  <c r="D365" i="2"/>
  <c r="D373" i="2"/>
  <c r="D381" i="2"/>
  <c r="D389" i="2"/>
  <c r="D397" i="2"/>
  <c r="D405" i="2"/>
  <c r="D413" i="2"/>
  <c r="D421" i="2"/>
  <c r="D429" i="2"/>
  <c r="D437" i="2"/>
  <c r="D445" i="2"/>
  <c r="D453" i="2"/>
  <c r="D366" i="2"/>
  <c r="D374" i="2"/>
  <c r="D382" i="2"/>
  <c r="D390" i="2"/>
  <c r="D398" i="2"/>
  <c r="D406" i="2"/>
  <c r="D414" i="2"/>
  <c r="D422" i="2"/>
  <c r="D430" i="2"/>
  <c r="D438" i="2"/>
  <c r="D446" i="2"/>
  <c r="D367" i="2"/>
  <c r="G367" i="2" s="1"/>
  <c r="I367" i="2" s="1"/>
  <c r="D375" i="2"/>
  <c r="D383" i="2"/>
  <c r="D391" i="2"/>
  <c r="D399" i="2"/>
  <c r="D407" i="2"/>
  <c r="D415" i="2"/>
  <c r="D423" i="2"/>
  <c r="D431" i="2"/>
  <c r="D439" i="2"/>
  <c r="D447" i="2"/>
  <c r="F33" i="2"/>
  <c r="F153" i="2"/>
  <c r="F258" i="2"/>
  <c r="F19" i="2"/>
  <c r="F139" i="2"/>
  <c r="F4" i="2"/>
  <c r="E47" i="2"/>
  <c r="E55" i="2"/>
  <c r="E167" i="2"/>
  <c r="E175" i="2"/>
  <c r="E279" i="2"/>
  <c r="E367" i="2"/>
  <c r="E375" i="2"/>
  <c r="E48" i="2"/>
  <c r="E56" i="2"/>
  <c r="E168" i="2"/>
  <c r="E176" i="2"/>
  <c r="E272" i="2"/>
  <c r="E280" i="2"/>
  <c r="E368" i="2"/>
  <c r="E49" i="2"/>
  <c r="E57" i="2"/>
  <c r="E169" i="2"/>
  <c r="E177" i="2"/>
  <c r="E273" i="2"/>
  <c r="E281" i="2"/>
  <c r="E369" i="2"/>
  <c r="E50" i="2"/>
  <c r="E58" i="2"/>
  <c r="E170" i="2"/>
  <c r="E178" i="2"/>
  <c r="E274" i="2"/>
  <c r="E282" i="2"/>
  <c r="E370" i="2"/>
  <c r="E51" i="2"/>
  <c r="E59" i="2"/>
  <c r="E171" i="2"/>
  <c r="E179" i="2"/>
  <c r="E275" i="2"/>
  <c r="E283" i="2"/>
  <c r="E363" i="2"/>
  <c r="E371" i="2"/>
  <c r="E52" i="2"/>
  <c r="E172" i="2"/>
  <c r="E276" i="2"/>
  <c r="E284" i="2"/>
  <c r="E364" i="2"/>
  <c r="E372" i="2"/>
  <c r="E53" i="2"/>
  <c r="E173" i="2"/>
  <c r="E277" i="2"/>
  <c r="E365" i="2"/>
  <c r="E373" i="2"/>
  <c r="E54" i="2"/>
  <c r="E174" i="2"/>
  <c r="E278" i="2"/>
  <c r="E366" i="2"/>
  <c r="E374" i="2"/>
  <c r="D456" i="2"/>
  <c r="D464" i="2"/>
  <c r="D472" i="2"/>
  <c r="D480" i="2"/>
  <c r="D488" i="2"/>
  <c r="D496" i="2"/>
  <c r="G496" i="2" s="1"/>
  <c r="I496" i="2" s="1"/>
  <c r="D504" i="2"/>
  <c r="D512" i="2"/>
  <c r="D520" i="2"/>
  <c r="D528" i="2"/>
  <c r="D457" i="2"/>
  <c r="D465" i="2"/>
  <c r="D473" i="2"/>
  <c r="D481" i="2"/>
  <c r="D489" i="2"/>
  <c r="D497" i="2"/>
  <c r="D505" i="2"/>
  <c r="D513" i="2"/>
  <c r="D521" i="2"/>
  <c r="D529" i="2"/>
  <c r="D458" i="2"/>
  <c r="D466" i="2"/>
  <c r="D474" i="2"/>
  <c r="D482" i="2"/>
  <c r="D490" i="2"/>
  <c r="D498" i="2"/>
  <c r="D506" i="2"/>
  <c r="D514" i="2"/>
  <c r="D522" i="2"/>
  <c r="D530" i="2"/>
  <c r="D459" i="2"/>
  <c r="D467" i="2"/>
  <c r="D475" i="2"/>
  <c r="D483" i="2"/>
  <c r="D491" i="2"/>
  <c r="D499" i="2"/>
  <c r="D507" i="2"/>
  <c r="D515" i="2"/>
  <c r="D523" i="2"/>
  <c r="D531" i="2"/>
  <c r="D460" i="2"/>
  <c r="D468" i="2"/>
  <c r="D476" i="2"/>
  <c r="D484" i="2"/>
  <c r="D492" i="2"/>
  <c r="D500" i="2"/>
  <c r="D508" i="2"/>
  <c r="D516" i="2"/>
  <c r="D524" i="2"/>
  <c r="D461" i="2"/>
  <c r="D469" i="2"/>
  <c r="D477" i="2"/>
  <c r="D485" i="2"/>
  <c r="D493" i="2"/>
  <c r="D501" i="2"/>
  <c r="D509" i="2"/>
  <c r="D517" i="2"/>
  <c r="D525" i="2"/>
  <c r="D454" i="2"/>
  <c r="D462" i="2"/>
  <c r="D470" i="2"/>
  <c r="D478" i="2"/>
  <c r="D486" i="2"/>
  <c r="D494" i="2"/>
  <c r="D502" i="2"/>
  <c r="D510" i="2"/>
  <c r="D518" i="2"/>
  <c r="D526" i="2"/>
  <c r="D455" i="2"/>
  <c r="D463" i="2"/>
  <c r="D471" i="2"/>
  <c r="D479" i="2"/>
  <c r="D487" i="2"/>
  <c r="D495" i="2"/>
  <c r="D503" i="2"/>
  <c r="D511" i="2"/>
  <c r="D519" i="2"/>
  <c r="D527" i="2"/>
  <c r="D7" i="2"/>
  <c r="D15" i="2"/>
  <c r="D23" i="2"/>
  <c r="D31" i="2"/>
  <c r="D39" i="2"/>
  <c r="G39" i="2" s="1"/>
  <c r="I39" i="2" s="1"/>
  <c r="D47" i="2"/>
  <c r="D55" i="2"/>
  <c r="D63" i="2"/>
  <c r="D71" i="2"/>
  <c r="D79" i="2"/>
  <c r="D87" i="2"/>
  <c r="D95" i="2"/>
  <c r="D103" i="2"/>
  <c r="D111" i="2"/>
  <c r="D119" i="2"/>
  <c r="D127" i="2"/>
  <c r="D135" i="2"/>
  <c r="D8" i="2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128" i="2"/>
  <c r="D136" i="2"/>
  <c r="D9" i="2"/>
  <c r="D17" i="2"/>
  <c r="D25" i="2"/>
  <c r="D33" i="2"/>
  <c r="G33" i="2" s="1"/>
  <c r="I33" i="2" s="1"/>
  <c r="D41" i="2"/>
  <c r="D49" i="2"/>
  <c r="D57" i="2"/>
  <c r="D65" i="2"/>
  <c r="D73" i="2"/>
  <c r="D81" i="2"/>
  <c r="D89" i="2"/>
  <c r="D10" i="2"/>
  <c r="D18" i="2"/>
  <c r="D26" i="2"/>
  <c r="D34" i="2"/>
  <c r="D42" i="2"/>
  <c r="D50" i="2"/>
  <c r="D58" i="2"/>
  <c r="D66" i="2"/>
  <c r="D74" i="2"/>
  <c r="D82" i="2"/>
  <c r="D90" i="2"/>
  <c r="D98" i="2"/>
  <c r="D3" i="2"/>
  <c r="D11" i="2"/>
  <c r="D19" i="2"/>
  <c r="D27" i="2"/>
  <c r="D35" i="2"/>
  <c r="D43" i="2"/>
  <c r="D51" i="2"/>
  <c r="G51" i="2" s="1"/>
  <c r="I51" i="2" s="1"/>
  <c r="D59" i="2"/>
  <c r="D67" i="2"/>
  <c r="D75" i="2"/>
  <c r="D83" i="2"/>
  <c r="D91" i="2"/>
  <c r="D99" i="2"/>
  <c r="D107" i="2"/>
  <c r="D115" i="2"/>
  <c r="D4" i="2"/>
  <c r="D12" i="2"/>
  <c r="D20" i="2"/>
  <c r="D28" i="2"/>
  <c r="D36" i="2"/>
  <c r="D44" i="2"/>
  <c r="D52" i="2"/>
  <c r="G52" i="2" s="1"/>
  <c r="I52" i="2" s="1"/>
  <c r="D60" i="2"/>
  <c r="D68" i="2"/>
  <c r="D76" i="2"/>
  <c r="D84" i="2"/>
  <c r="D92" i="2"/>
  <c r="D100" i="2"/>
  <c r="D108" i="2"/>
  <c r="D116" i="2"/>
  <c r="D5" i="2"/>
  <c r="D13" i="2"/>
  <c r="D21" i="2"/>
  <c r="D29" i="2"/>
  <c r="D37" i="2"/>
  <c r="D45" i="2"/>
  <c r="D53" i="2"/>
  <c r="D61" i="2"/>
  <c r="D69" i="2"/>
  <c r="D77" i="2"/>
  <c r="D6" i="2"/>
  <c r="D14" i="2"/>
  <c r="D22" i="2"/>
  <c r="D30" i="2"/>
  <c r="D38" i="2"/>
  <c r="G38" i="2" s="1"/>
  <c r="I38" i="2" s="1"/>
  <c r="D46" i="2"/>
  <c r="D54" i="2"/>
  <c r="D62" i="2"/>
  <c r="D70" i="2"/>
  <c r="D78" i="2"/>
  <c r="D86" i="2"/>
  <c r="D94" i="2"/>
  <c r="D102" i="2"/>
  <c r="G102" i="2" s="1"/>
  <c r="I102" i="2" s="1"/>
  <c r="D97" i="2"/>
  <c r="D117" i="2"/>
  <c r="D129" i="2"/>
  <c r="D101" i="2"/>
  <c r="D118" i="2"/>
  <c r="D130" i="2"/>
  <c r="D105" i="2"/>
  <c r="D121" i="2"/>
  <c r="D131" i="2"/>
  <c r="D2" i="2"/>
  <c r="D106" i="2"/>
  <c r="D122" i="2"/>
  <c r="D132" i="2"/>
  <c r="D109" i="2"/>
  <c r="D123" i="2"/>
  <c r="D133" i="2"/>
  <c r="D110" i="2"/>
  <c r="D124" i="2"/>
  <c r="D134" i="2"/>
  <c r="D85" i="2"/>
  <c r="D113" i="2"/>
  <c r="D125" i="2"/>
  <c r="D137" i="2"/>
  <c r="D93" i="2"/>
  <c r="D114" i="2"/>
  <c r="D126" i="2"/>
  <c r="F71" i="2"/>
  <c r="F127" i="2"/>
  <c r="F191" i="2"/>
  <c r="F247" i="2"/>
  <c r="F271" i="2"/>
  <c r="F359" i="2"/>
  <c r="F375" i="2"/>
  <c r="F447" i="2"/>
  <c r="F495" i="2"/>
  <c r="F503" i="2"/>
  <c r="F32" i="2"/>
  <c r="F136" i="2"/>
  <c r="F152" i="2"/>
  <c r="F256" i="2"/>
  <c r="F296" i="2"/>
  <c r="F352" i="2"/>
  <c r="F408" i="2"/>
  <c r="F432" i="2"/>
  <c r="F17" i="2"/>
  <c r="F137" i="2"/>
  <c r="F82" i="2"/>
  <c r="F122" i="2"/>
  <c r="F202" i="2"/>
  <c r="F242" i="2"/>
  <c r="F362" i="2"/>
  <c r="F450" i="2"/>
  <c r="F59" i="2"/>
  <c r="F131" i="2"/>
  <c r="F179" i="2"/>
  <c r="F251" i="2"/>
  <c r="F307" i="2"/>
  <c r="F347" i="2"/>
  <c r="F387" i="2"/>
  <c r="F443" i="2"/>
  <c r="F92" i="2"/>
  <c r="F116" i="2"/>
  <c r="F212" i="2"/>
  <c r="F236" i="2"/>
  <c r="F284" i="2"/>
  <c r="F356" i="2"/>
  <c r="F452" i="2"/>
  <c r="F476" i="2"/>
  <c r="F101" i="2"/>
  <c r="F109" i="2"/>
  <c r="F221" i="2"/>
  <c r="F229" i="2"/>
  <c r="F317" i="2"/>
  <c r="F341" i="2"/>
  <c r="F46" i="2"/>
  <c r="F134" i="2"/>
  <c r="F166" i="2"/>
  <c r="F254" i="2"/>
  <c r="F417" i="2"/>
  <c r="F438" i="2"/>
  <c r="F591" i="2"/>
  <c r="F607" i="2"/>
  <c r="F631" i="2"/>
  <c r="F687" i="2"/>
  <c r="F727" i="2"/>
  <c r="F751" i="2"/>
  <c r="F767" i="2"/>
  <c r="F791" i="2"/>
  <c r="F807" i="2"/>
  <c r="F815" i="2"/>
  <c r="F326" i="2"/>
  <c r="F528" i="2"/>
  <c r="F552" i="2"/>
  <c r="F576" i="2"/>
  <c r="F616" i="2"/>
  <c r="F624" i="2"/>
  <c r="F696" i="2"/>
  <c r="F712" i="2"/>
  <c r="F760" i="2"/>
  <c r="F776" i="2"/>
  <c r="F816" i="2"/>
  <c r="F361" i="2"/>
  <c r="F465" i="2"/>
  <c r="F486" i="2"/>
  <c r="F521" i="2"/>
  <c r="F561" i="2"/>
  <c r="F569" i="2"/>
  <c r="F649" i="2"/>
  <c r="F697" i="2"/>
  <c r="F705" i="2"/>
  <c r="F761" i="2"/>
  <c r="F801" i="2"/>
  <c r="F817" i="2"/>
  <c r="F334" i="2"/>
  <c r="F398" i="2"/>
  <c r="F425" i="2"/>
  <c r="F510" i="2"/>
  <c r="F530" i="2"/>
  <c r="F594" i="2"/>
  <c r="F642" i="2"/>
  <c r="F682" i="2"/>
  <c r="F730" i="2"/>
  <c r="F746" i="2"/>
  <c r="F794" i="2"/>
  <c r="F810" i="2"/>
  <c r="F531" i="2"/>
  <c r="F587" i="2"/>
  <c r="F651" i="2"/>
  <c r="F691" i="2"/>
  <c r="F723" i="2"/>
  <c r="F755" i="2"/>
  <c r="F779" i="2"/>
  <c r="F787" i="2"/>
  <c r="F453" i="2"/>
  <c r="F516" i="2"/>
  <c r="F596" i="2"/>
  <c r="F652" i="2"/>
  <c r="F676" i="2"/>
  <c r="F732" i="2"/>
  <c r="F740" i="2"/>
  <c r="F772" i="2"/>
  <c r="F796" i="2"/>
  <c r="F804" i="2"/>
  <c r="F812" i="2"/>
  <c r="F257" i="2"/>
  <c r="F525" i="2"/>
  <c r="F597" i="2"/>
  <c r="F637" i="2"/>
  <c r="F661" i="2"/>
  <c r="F669" i="2"/>
  <c r="F733" i="2"/>
  <c r="F781" i="2"/>
  <c r="F797" i="2"/>
  <c r="F813" i="2"/>
  <c r="F542" i="2"/>
  <c r="F582" i="2"/>
  <c r="F646" i="2"/>
  <c r="F694" i="2"/>
  <c r="F718" i="2"/>
  <c r="F758" i="2"/>
  <c r="F782" i="2"/>
  <c r="F806" i="2"/>
  <c r="F87" i="2"/>
  <c r="F111" i="2"/>
  <c r="F207" i="2"/>
  <c r="F231" i="2"/>
  <c r="F279" i="2"/>
  <c r="F471" i="2"/>
  <c r="F511" i="2"/>
  <c r="F96" i="2"/>
  <c r="F104" i="2"/>
  <c r="F216" i="2"/>
  <c r="F224" i="2"/>
  <c r="F312" i="2"/>
  <c r="F336" i="2"/>
  <c r="F41" i="2"/>
  <c r="F161" i="2"/>
  <c r="F66" i="2"/>
  <c r="F186" i="2"/>
  <c r="F266" i="2"/>
  <c r="F370" i="2"/>
  <c r="F490" i="2"/>
  <c r="F498" i="2"/>
  <c r="F27" i="2"/>
  <c r="F147" i="2"/>
  <c r="F291" i="2"/>
  <c r="F403" i="2"/>
  <c r="F427" i="2"/>
  <c r="F12" i="2"/>
  <c r="F412" i="2"/>
  <c r="F420" i="2"/>
  <c r="F460" i="2"/>
  <c r="F77" i="2"/>
  <c r="F117" i="2"/>
  <c r="F197" i="2"/>
  <c r="F237" i="2"/>
  <c r="F54" i="2"/>
  <c r="F174" i="2"/>
  <c r="F302" i="2"/>
  <c r="F321" i="2"/>
  <c r="F481" i="2"/>
  <c r="F671" i="2"/>
  <c r="F735" i="2"/>
  <c r="E127" i="2"/>
  <c r="E247" i="2"/>
  <c r="E351" i="2"/>
  <c r="E439" i="2"/>
  <c r="E519" i="2"/>
  <c r="E583" i="2"/>
  <c r="E639" i="2"/>
  <c r="E687" i="2"/>
  <c r="E719" i="2"/>
  <c r="E751" i="2"/>
  <c r="E783" i="2"/>
  <c r="F505" i="2"/>
  <c r="F632" i="2"/>
  <c r="F656" i="2"/>
  <c r="F664" i="2"/>
  <c r="E352" i="2"/>
  <c r="E440" i="2"/>
  <c r="E520" i="2"/>
  <c r="E584" i="2"/>
  <c r="E640" i="2"/>
  <c r="E720" i="2"/>
  <c r="E768" i="2"/>
  <c r="E784" i="2"/>
  <c r="F329" i="2"/>
  <c r="F393" i="2"/>
  <c r="F537" i="2"/>
  <c r="F577" i="2"/>
  <c r="F713" i="2"/>
  <c r="E441" i="2"/>
  <c r="E521" i="2"/>
  <c r="E585" i="2"/>
  <c r="E641" i="2"/>
  <c r="E721" i="2"/>
  <c r="E769" i="2"/>
  <c r="E785" i="2"/>
  <c r="F602" i="2"/>
  <c r="F626" i="2"/>
  <c r="F762" i="2"/>
  <c r="E442" i="2"/>
  <c r="E586" i="2"/>
  <c r="E642" i="2"/>
  <c r="E722" i="2"/>
  <c r="E770" i="2"/>
  <c r="E786" i="2"/>
  <c r="F547" i="2"/>
  <c r="F571" i="2"/>
  <c r="F611" i="2"/>
  <c r="F619" i="2"/>
  <c r="F707" i="2"/>
  <c r="E123" i="2"/>
  <c r="E243" i="2"/>
  <c r="E443" i="2"/>
  <c r="E587" i="2"/>
  <c r="E683" i="2"/>
  <c r="E723" i="2"/>
  <c r="E747" i="2"/>
  <c r="E771" i="2"/>
  <c r="E787" i="2"/>
  <c r="F342" i="2"/>
  <c r="F556" i="2"/>
  <c r="F564" i="2"/>
  <c r="F700" i="2"/>
  <c r="E124" i="2"/>
  <c r="E244" i="2"/>
  <c r="E348" i="2"/>
  <c r="E684" i="2"/>
  <c r="E748" i="2"/>
  <c r="E772" i="2"/>
  <c r="F433" i="2"/>
  <c r="F677" i="2"/>
  <c r="F741" i="2"/>
  <c r="E125" i="2"/>
  <c r="E245" i="2"/>
  <c r="E349" i="2"/>
  <c r="E517" i="2"/>
  <c r="E685" i="2"/>
  <c r="E749" i="2"/>
  <c r="F382" i="2"/>
  <c r="E126" i="2"/>
  <c r="E246" i="2"/>
  <c r="E350" i="2"/>
  <c r="E518" i="2"/>
  <c r="E638" i="2"/>
  <c r="E686" i="2"/>
  <c r="E750" i="2"/>
  <c r="D800" i="2"/>
  <c r="D805" i="2"/>
  <c r="D801" i="2"/>
  <c r="D802" i="2"/>
  <c r="D803" i="2"/>
  <c r="D804" i="2"/>
  <c r="D807" i="2"/>
  <c r="D799" i="2"/>
  <c r="D798" i="2"/>
  <c r="D806" i="2"/>
  <c r="F48" i="2"/>
  <c r="F168" i="2"/>
  <c r="F376" i="2"/>
  <c r="F35" i="2"/>
  <c r="F155" i="2"/>
  <c r="F60" i="2"/>
  <c r="F180" i="2"/>
  <c r="F260" i="2"/>
  <c r="F364" i="2"/>
  <c r="F21" i="2"/>
  <c r="F141" i="2"/>
  <c r="F285" i="2"/>
  <c r="F6" i="2"/>
  <c r="F273" i="2"/>
  <c r="E79" i="2"/>
  <c r="E199" i="2"/>
  <c r="E303" i="2"/>
  <c r="E391" i="2"/>
  <c r="E471" i="2"/>
  <c r="E535" i="2"/>
  <c r="E72" i="2"/>
  <c r="E80" i="2"/>
  <c r="E192" i="2"/>
  <c r="E200" i="2"/>
  <c r="E304" i="2"/>
  <c r="E392" i="2"/>
  <c r="E472" i="2"/>
  <c r="E536" i="2"/>
  <c r="E73" i="2"/>
  <c r="E81" i="2"/>
  <c r="E193" i="2"/>
  <c r="E201" i="2"/>
  <c r="E297" i="2"/>
  <c r="E305" i="2"/>
  <c r="E393" i="2"/>
  <c r="E473" i="2"/>
  <c r="E537" i="2"/>
  <c r="E74" i="2"/>
  <c r="E82" i="2"/>
  <c r="E194" i="2"/>
  <c r="E202" i="2"/>
  <c r="E298" i="2"/>
  <c r="E306" i="2"/>
  <c r="E394" i="2"/>
  <c r="E466" i="2"/>
  <c r="E474" i="2"/>
  <c r="E538" i="2"/>
  <c r="E75" i="2"/>
  <c r="E195" i="2"/>
  <c r="E299" i="2"/>
  <c r="E307" i="2"/>
  <c r="E395" i="2"/>
  <c r="E467" i="2"/>
  <c r="E475" i="2"/>
  <c r="E539" i="2"/>
  <c r="E76" i="2"/>
  <c r="E196" i="2"/>
  <c r="E300" i="2"/>
  <c r="E388" i="2"/>
  <c r="E396" i="2"/>
  <c r="E468" i="2"/>
  <c r="E476" i="2"/>
  <c r="E532" i="2"/>
  <c r="E540" i="2"/>
  <c r="F454" i="2"/>
  <c r="E77" i="2"/>
  <c r="E197" i="2"/>
  <c r="E301" i="2"/>
  <c r="E389" i="2"/>
  <c r="E397" i="2"/>
  <c r="E469" i="2"/>
  <c r="E533" i="2"/>
  <c r="E541" i="2"/>
  <c r="E78" i="2"/>
  <c r="E198" i="2"/>
  <c r="E302" i="2"/>
  <c r="E390" i="2"/>
  <c r="E398" i="2"/>
  <c r="E470" i="2"/>
  <c r="E534" i="2"/>
  <c r="E542" i="2"/>
  <c r="D600" i="2"/>
  <c r="D608" i="2"/>
  <c r="D616" i="2"/>
  <c r="D624" i="2"/>
  <c r="G624" i="2" s="1"/>
  <c r="I624" i="2" s="1"/>
  <c r="D632" i="2"/>
  <c r="D640" i="2"/>
  <c r="D648" i="2"/>
  <c r="D601" i="2"/>
  <c r="D609" i="2"/>
  <c r="D617" i="2"/>
  <c r="G617" i="2" s="1"/>
  <c r="I617" i="2" s="1"/>
  <c r="D625" i="2"/>
  <c r="D633" i="2"/>
  <c r="D641" i="2"/>
  <c r="D649" i="2"/>
  <c r="D602" i="2"/>
  <c r="D610" i="2"/>
  <c r="D618" i="2"/>
  <c r="D626" i="2"/>
  <c r="G626" i="2" s="1"/>
  <c r="I626" i="2" s="1"/>
  <c r="D634" i="2"/>
  <c r="D642" i="2"/>
  <c r="G642" i="2" s="1"/>
  <c r="I642" i="2" s="1"/>
  <c r="D650" i="2"/>
  <c r="D603" i="2"/>
  <c r="D611" i="2"/>
  <c r="D619" i="2"/>
  <c r="G619" i="2" s="1"/>
  <c r="I619" i="2" s="1"/>
  <c r="D627" i="2"/>
  <c r="D635" i="2"/>
  <c r="D643" i="2"/>
  <c r="D651" i="2"/>
  <c r="D604" i="2"/>
  <c r="D612" i="2"/>
  <c r="D620" i="2"/>
  <c r="D628" i="2"/>
  <c r="D636" i="2"/>
  <c r="D644" i="2"/>
  <c r="D652" i="2"/>
  <c r="D605" i="2"/>
  <c r="D613" i="2"/>
  <c r="D621" i="2"/>
  <c r="D629" i="2"/>
  <c r="D637" i="2"/>
  <c r="D645" i="2"/>
  <c r="D598" i="2"/>
  <c r="D606" i="2"/>
  <c r="D614" i="2"/>
  <c r="D622" i="2"/>
  <c r="D630" i="2"/>
  <c r="D638" i="2"/>
  <c r="D646" i="2"/>
  <c r="D599" i="2"/>
  <c r="D607" i="2"/>
  <c r="D615" i="2"/>
  <c r="D623" i="2"/>
  <c r="D631" i="2"/>
  <c r="G631" i="2" s="1"/>
  <c r="I631" i="2" s="1"/>
  <c r="D639" i="2"/>
  <c r="D647" i="2"/>
  <c r="F15" i="2"/>
  <c r="F415" i="2"/>
  <c r="F423" i="2"/>
  <c r="F463" i="2"/>
  <c r="F80" i="2"/>
  <c r="F120" i="2"/>
  <c r="F200" i="2"/>
  <c r="F240" i="2"/>
  <c r="F448" i="2"/>
  <c r="F57" i="2"/>
  <c r="F129" i="2"/>
  <c r="F177" i="2"/>
  <c r="F90" i="2"/>
  <c r="F114" i="2"/>
  <c r="F210" i="2"/>
  <c r="F234" i="2"/>
  <c r="F282" i="2"/>
  <c r="F354" i="2"/>
  <c r="F474" i="2"/>
  <c r="F514" i="2"/>
  <c r="F99" i="2"/>
  <c r="F107" i="2"/>
  <c r="F219" i="2"/>
  <c r="F227" i="2"/>
  <c r="F315" i="2"/>
  <c r="F339" i="2"/>
  <c r="F44" i="2"/>
  <c r="F132" i="2"/>
  <c r="F164" i="2"/>
  <c r="F252" i="2"/>
  <c r="F324" i="2"/>
  <c r="F332" i="2"/>
  <c r="F396" i="2"/>
  <c r="F436" i="2"/>
  <c r="F484" i="2"/>
  <c r="F508" i="2"/>
  <c r="F69" i="2"/>
  <c r="F125" i="2"/>
  <c r="F189" i="2"/>
  <c r="F245" i="2"/>
  <c r="F269" i="2"/>
  <c r="F357" i="2"/>
  <c r="F373" i="2"/>
  <c r="F30" i="2"/>
  <c r="F150" i="2"/>
  <c r="F294" i="2"/>
  <c r="F385" i="2"/>
  <c r="F519" i="2"/>
  <c r="F559" i="2"/>
  <c r="F567" i="2"/>
  <c r="F647" i="2"/>
  <c r="F703" i="2"/>
  <c r="F799" i="2"/>
  <c r="E135" i="2"/>
  <c r="E255" i="2"/>
  <c r="E695" i="2"/>
  <c r="E759" i="2"/>
  <c r="E815" i="2"/>
  <c r="F441" i="2"/>
  <c r="F592" i="2"/>
  <c r="F640" i="2"/>
  <c r="F680" i="2"/>
  <c r="F728" i="2"/>
  <c r="F744" i="2"/>
  <c r="F792" i="2"/>
  <c r="F808" i="2"/>
  <c r="E136" i="2"/>
  <c r="E256" i="2"/>
  <c r="E360" i="2"/>
  <c r="E696" i="2"/>
  <c r="E760" i="2"/>
  <c r="F445" i="2"/>
  <c r="F585" i="2"/>
  <c r="F689" i="2"/>
  <c r="F721" i="2"/>
  <c r="F753" i="2"/>
  <c r="F777" i="2"/>
  <c r="F785" i="2"/>
  <c r="E361" i="2"/>
  <c r="E529" i="2"/>
  <c r="F674" i="2"/>
  <c r="F738" i="2"/>
  <c r="F770" i="2"/>
  <c r="F802" i="2"/>
  <c r="E530" i="2"/>
  <c r="E650" i="2"/>
  <c r="F305" i="2"/>
  <c r="F493" i="2"/>
  <c r="F523" i="2"/>
  <c r="F635" i="2"/>
  <c r="F659" i="2"/>
  <c r="F667" i="2"/>
  <c r="E451" i="2"/>
  <c r="E595" i="2"/>
  <c r="E651" i="2"/>
  <c r="E731" i="2"/>
  <c r="E795" i="2"/>
  <c r="E811" i="2"/>
  <c r="F249" i="2"/>
  <c r="F406" i="2"/>
  <c r="F430" i="2"/>
  <c r="F540" i="2"/>
  <c r="F580" i="2"/>
  <c r="F644" i="2"/>
  <c r="F692" i="2"/>
  <c r="F716" i="2"/>
  <c r="F756" i="2"/>
  <c r="E452" i="2"/>
  <c r="E596" i="2"/>
  <c r="E732" i="2"/>
  <c r="E780" i="2"/>
  <c r="E796" i="2"/>
  <c r="E812" i="2"/>
  <c r="F345" i="2"/>
  <c r="F589" i="2"/>
  <c r="F605" i="2"/>
  <c r="F629" i="2"/>
  <c r="F685" i="2"/>
  <c r="F725" i="2"/>
  <c r="F749" i="2"/>
  <c r="F765" i="2"/>
  <c r="F789" i="2"/>
  <c r="E781" i="2"/>
  <c r="E805" i="2"/>
  <c r="F350" i="2"/>
  <c r="F501" i="2"/>
  <c r="F526" i="2"/>
  <c r="F550" i="2"/>
  <c r="F574" i="2"/>
  <c r="F614" i="2"/>
  <c r="F622" i="2"/>
  <c r="F710" i="2"/>
  <c r="F774" i="2"/>
  <c r="E806" i="2"/>
  <c r="E814" i="2"/>
  <c r="D817" i="2"/>
  <c r="F7" i="2"/>
  <c r="F455" i="2"/>
  <c r="F72" i="2"/>
  <c r="F192" i="2"/>
  <c r="F49" i="2"/>
  <c r="F169" i="2"/>
  <c r="F274" i="2"/>
  <c r="F466" i="2"/>
  <c r="F36" i="2"/>
  <c r="F156" i="2"/>
  <c r="F388" i="2"/>
  <c r="F61" i="2"/>
  <c r="F181" i="2"/>
  <c r="F261" i="2"/>
  <c r="F365" i="2"/>
  <c r="F22" i="2"/>
  <c r="F142" i="2"/>
  <c r="F286" i="2"/>
  <c r="E87" i="2"/>
  <c r="E207" i="2"/>
  <c r="E311" i="2"/>
  <c r="E399" i="2"/>
  <c r="E407" i="2"/>
  <c r="E479" i="2"/>
  <c r="E543" i="2"/>
  <c r="E551" i="2"/>
  <c r="E599" i="2"/>
  <c r="E607" i="2"/>
  <c r="E88" i="2"/>
  <c r="E208" i="2"/>
  <c r="E312" i="2"/>
  <c r="E400" i="2"/>
  <c r="E408" i="2"/>
  <c r="E480" i="2"/>
  <c r="E544" i="2"/>
  <c r="E552" i="2"/>
  <c r="E600" i="2"/>
  <c r="E89" i="2"/>
  <c r="E209" i="2"/>
  <c r="E313" i="2"/>
  <c r="E401" i="2"/>
  <c r="E481" i="2"/>
  <c r="E545" i="2"/>
  <c r="E601" i="2"/>
  <c r="F297" i="2"/>
  <c r="E90" i="2"/>
  <c r="E210" i="2"/>
  <c r="E314" i="2"/>
  <c r="E402" i="2"/>
  <c r="E482" i="2"/>
  <c r="E546" i="2"/>
  <c r="E602" i="2"/>
  <c r="E83" i="2"/>
  <c r="E91" i="2"/>
  <c r="E203" i="2"/>
  <c r="E211" i="2"/>
  <c r="E315" i="2"/>
  <c r="E403" i="2"/>
  <c r="E483" i="2"/>
  <c r="E547" i="2"/>
  <c r="E603" i="2"/>
  <c r="F532" i="2"/>
  <c r="E84" i="2"/>
  <c r="E92" i="2"/>
  <c r="E204" i="2"/>
  <c r="E212" i="2"/>
  <c r="E308" i="2"/>
  <c r="E316" i="2"/>
  <c r="E404" i="2"/>
  <c r="E484" i="2"/>
  <c r="E548" i="2"/>
  <c r="E604" i="2"/>
  <c r="F377" i="2"/>
  <c r="E85" i="2"/>
  <c r="E205" i="2"/>
  <c r="E309" i="2"/>
  <c r="E317" i="2"/>
  <c r="E405" i="2"/>
  <c r="E477" i="2"/>
  <c r="E485" i="2"/>
  <c r="E549" i="2"/>
  <c r="E605" i="2"/>
  <c r="E86" i="2"/>
  <c r="E206" i="2"/>
  <c r="E310" i="2"/>
  <c r="E406" i="2"/>
  <c r="E478" i="2"/>
  <c r="E486" i="2"/>
  <c r="E550" i="2"/>
  <c r="E598" i="2"/>
  <c r="E606" i="2"/>
  <c r="D656" i="2"/>
  <c r="D664" i="2"/>
  <c r="G664" i="2" s="1"/>
  <c r="I664" i="2" s="1"/>
  <c r="D672" i="2"/>
  <c r="D680" i="2"/>
  <c r="D688" i="2"/>
  <c r="D696" i="2"/>
  <c r="G696" i="2" s="1"/>
  <c r="I696" i="2" s="1"/>
  <c r="D657" i="2"/>
  <c r="D665" i="2"/>
  <c r="D673" i="2"/>
  <c r="D681" i="2"/>
  <c r="D689" i="2"/>
  <c r="D697" i="2"/>
  <c r="D658" i="2"/>
  <c r="D666" i="2"/>
  <c r="D674" i="2"/>
  <c r="G674" i="2" s="1"/>
  <c r="I674" i="2" s="1"/>
  <c r="D682" i="2"/>
  <c r="D690" i="2"/>
  <c r="D659" i="2"/>
  <c r="D667" i="2"/>
  <c r="G667" i="2" s="1"/>
  <c r="I667" i="2" s="1"/>
  <c r="D675" i="2"/>
  <c r="D683" i="2"/>
  <c r="D691" i="2"/>
  <c r="D660" i="2"/>
  <c r="D668" i="2"/>
  <c r="D676" i="2"/>
  <c r="G676" i="2" s="1"/>
  <c r="I676" i="2" s="1"/>
  <c r="D684" i="2"/>
  <c r="D692" i="2"/>
  <c r="D653" i="2"/>
  <c r="D661" i="2"/>
  <c r="D669" i="2"/>
  <c r="G669" i="2" s="1"/>
  <c r="I669" i="2" s="1"/>
  <c r="D677" i="2"/>
  <c r="D685" i="2"/>
  <c r="G685" i="2" s="1"/>
  <c r="I685" i="2" s="1"/>
  <c r="D693" i="2"/>
  <c r="D654" i="2"/>
  <c r="D662" i="2"/>
  <c r="G662" i="2" s="1"/>
  <c r="I662" i="2" s="1"/>
  <c r="D670" i="2"/>
  <c r="D678" i="2"/>
  <c r="D686" i="2"/>
  <c r="D694" i="2"/>
  <c r="D655" i="2"/>
  <c r="D663" i="2"/>
  <c r="D671" i="2"/>
  <c r="G671" i="2" s="1"/>
  <c r="I671" i="2" s="1"/>
  <c r="D679" i="2"/>
  <c r="D687" i="2"/>
  <c r="G687" i="2" s="1"/>
  <c r="I687" i="2" s="1"/>
  <c r="D695" i="2"/>
  <c r="F47" i="2"/>
  <c r="F167" i="2"/>
  <c r="F272" i="2"/>
  <c r="F34" i="2"/>
  <c r="F154" i="2"/>
  <c r="F259" i="2"/>
  <c r="F363" i="2"/>
  <c r="F20" i="2"/>
  <c r="F140" i="2"/>
  <c r="F5" i="2"/>
  <c r="E63" i="2"/>
  <c r="E71" i="2"/>
  <c r="E183" i="2"/>
  <c r="E191" i="2"/>
  <c r="E287" i="2"/>
  <c r="E295" i="2"/>
  <c r="E383" i="2"/>
  <c r="E455" i="2"/>
  <c r="E463" i="2"/>
  <c r="E64" i="2"/>
  <c r="E184" i="2"/>
  <c r="E288" i="2"/>
  <c r="E296" i="2"/>
  <c r="E376" i="2"/>
  <c r="E384" i="2"/>
  <c r="E456" i="2"/>
  <c r="E464" i="2"/>
  <c r="E65" i="2"/>
  <c r="E185" i="2"/>
  <c r="E289" i="2"/>
  <c r="E377" i="2"/>
  <c r="E385" i="2"/>
  <c r="E457" i="2"/>
  <c r="E465" i="2"/>
  <c r="E66" i="2"/>
  <c r="E186" i="2"/>
  <c r="E290" i="2"/>
  <c r="E378" i="2"/>
  <c r="E386" i="2"/>
  <c r="E458" i="2"/>
  <c r="E67" i="2"/>
  <c r="E187" i="2"/>
  <c r="E291" i="2"/>
  <c r="E379" i="2"/>
  <c r="E387" i="2"/>
  <c r="E459" i="2"/>
  <c r="E60" i="2"/>
  <c r="E68" i="2"/>
  <c r="E180" i="2"/>
  <c r="E188" i="2"/>
  <c r="E292" i="2"/>
  <c r="E380" i="2"/>
  <c r="E460" i="2"/>
  <c r="E61" i="2"/>
  <c r="E69" i="2"/>
  <c r="E181" i="2"/>
  <c r="E189" i="2"/>
  <c r="E285" i="2"/>
  <c r="E293" i="2"/>
  <c r="E381" i="2"/>
  <c r="E461" i="2"/>
  <c r="E62" i="2"/>
  <c r="E70" i="2"/>
  <c r="E182" i="2"/>
  <c r="E190" i="2"/>
  <c r="E286" i="2"/>
  <c r="E294" i="2"/>
  <c r="E382" i="2"/>
  <c r="E454" i="2"/>
  <c r="E462" i="2"/>
  <c r="D536" i="2"/>
  <c r="D544" i="2"/>
  <c r="G544" i="2" s="1"/>
  <c r="I544" i="2" s="1"/>
  <c r="D552" i="2"/>
  <c r="G552" i="2" s="1"/>
  <c r="I552" i="2" s="1"/>
  <c r="D560" i="2"/>
  <c r="D568" i="2"/>
  <c r="D576" i="2"/>
  <c r="G576" i="2" s="1"/>
  <c r="I576" i="2" s="1"/>
  <c r="D584" i="2"/>
  <c r="D592" i="2"/>
  <c r="D537" i="2"/>
  <c r="G537" i="2" s="1"/>
  <c r="I537" i="2" s="1"/>
  <c r="D545" i="2"/>
  <c r="G545" i="2" s="1"/>
  <c r="I545" i="2" s="1"/>
  <c r="D553" i="2"/>
  <c r="D561" i="2"/>
  <c r="D569" i="2"/>
  <c r="G569" i="2" s="1"/>
  <c r="I569" i="2" s="1"/>
  <c r="D577" i="2"/>
  <c r="D585" i="2"/>
  <c r="G585" i="2" s="1"/>
  <c r="I585" i="2" s="1"/>
  <c r="D593" i="2"/>
  <c r="D538" i="2"/>
  <c r="D546" i="2"/>
  <c r="D554" i="2"/>
  <c r="D562" i="2"/>
  <c r="G562" i="2" s="1"/>
  <c r="I562" i="2" s="1"/>
  <c r="D570" i="2"/>
  <c r="D578" i="2"/>
  <c r="D586" i="2"/>
  <c r="D594" i="2"/>
  <c r="D539" i="2"/>
  <c r="D547" i="2"/>
  <c r="G547" i="2" s="1"/>
  <c r="I547" i="2" s="1"/>
  <c r="D555" i="2"/>
  <c r="D563" i="2"/>
  <c r="D571" i="2"/>
  <c r="G571" i="2" s="1"/>
  <c r="I571" i="2" s="1"/>
  <c r="D579" i="2"/>
  <c r="D587" i="2"/>
  <c r="G587" i="2" s="1"/>
  <c r="I587" i="2" s="1"/>
  <c r="D595" i="2"/>
  <c r="D532" i="2"/>
  <c r="G532" i="2" s="1"/>
  <c r="I532" i="2" s="1"/>
  <c r="D540" i="2"/>
  <c r="G540" i="2" s="1"/>
  <c r="I540" i="2" s="1"/>
  <c r="D548" i="2"/>
  <c r="D556" i="2"/>
  <c r="D564" i="2"/>
  <c r="G564" i="2" s="1"/>
  <c r="I564" i="2" s="1"/>
  <c r="D572" i="2"/>
  <c r="D580" i="2"/>
  <c r="D588" i="2"/>
  <c r="D596" i="2"/>
  <c r="G596" i="2" s="1"/>
  <c r="I596" i="2" s="1"/>
  <c r="D533" i="2"/>
  <c r="D541" i="2"/>
  <c r="D549" i="2"/>
  <c r="D557" i="2"/>
  <c r="D565" i="2"/>
  <c r="D573" i="2"/>
  <c r="D581" i="2"/>
  <c r="D589" i="2"/>
  <c r="D597" i="2"/>
  <c r="D534" i="2"/>
  <c r="G534" i="2" s="1"/>
  <c r="I534" i="2" s="1"/>
  <c r="D542" i="2"/>
  <c r="G542" i="2" s="1"/>
  <c r="I542" i="2" s="1"/>
  <c r="D550" i="2"/>
  <c r="G550" i="2" s="1"/>
  <c r="I550" i="2" s="1"/>
  <c r="D558" i="2"/>
  <c r="D566" i="2"/>
  <c r="D574" i="2"/>
  <c r="G574" i="2" s="1"/>
  <c r="I574" i="2" s="1"/>
  <c r="D582" i="2"/>
  <c r="D590" i="2"/>
  <c r="D535" i="2"/>
  <c r="G535" i="2" s="1"/>
  <c r="I535" i="2" s="1"/>
  <c r="D543" i="2"/>
  <c r="D551" i="2"/>
  <c r="D559" i="2"/>
  <c r="D567" i="2"/>
  <c r="G567" i="2" s="1"/>
  <c r="I567" i="2" s="1"/>
  <c r="D575" i="2"/>
  <c r="D583" i="2"/>
  <c r="D591" i="2"/>
  <c r="E23" i="2"/>
  <c r="E31" i="2"/>
  <c r="E143" i="2"/>
  <c r="E151" i="2"/>
  <c r="E24" i="2"/>
  <c r="E32" i="2"/>
  <c r="E144" i="2"/>
  <c r="E152" i="2"/>
  <c r="E25" i="2"/>
  <c r="E145" i="2"/>
  <c r="F2" i="2"/>
  <c r="E18" i="2"/>
  <c r="E26" i="2"/>
  <c r="E138" i="2"/>
  <c r="E146" i="2"/>
  <c r="E19" i="2"/>
  <c r="E27" i="2"/>
  <c r="E139" i="2"/>
  <c r="E147" i="2"/>
  <c r="E20" i="2"/>
  <c r="E28" i="2"/>
  <c r="E140" i="2"/>
  <c r="E148" i="2"/>
  <c r="E21" i="2"/>
  <c r="E29" i="2"/>
  <c r="E141" i="2"/>
  <c r="E149" i="2"/>
  <c r="E22" i="2"/>
  <c r="E30" i="2"/>
  <c r="E142" i="2"/>
  <c r="E150" i="2"/>
  <c r="D264" i="2"/>
  <c r="G264" i="2" s="1"/>
  <c r="I264" i="2" s="1"/>
  <c r="D272" i="2"/>
  <c r="G272" i="2" s="1"/>
  <c r="I272" i="2" s="1"/>
  <c r="D280" i="2"/>
  <c r="D288" i="2"/>
  <c r="G288" i="2" s="1"/>
  <c r="I288" i="2" s="1"/>
  <c r="D296" i="2"/>
  <c r="G296" i="2" s="1"/>
  <c r="I296" i="2" s="1"/>
  <c r="D304" i="2"/>
  <c r="D312" i="2"/>
  <c r="G312" i="2" s="1"/>
  <c r="I312" i="2" s="1"/>
  <c r="D320" i="2"/>
  <c r="D328" i="2"/>
  <c r="D336" i="2"/>
  <c r="G336" i="2" s="1"/>
  <c r="I336" i="2" s="1"/>
  <c r="D344" i="2"/>
  <c r="D352" i="2"/>
  <c r="G352" i="2" s="1"/>
  <c r="I352" i="2" s="1"/>
  <c r="D360" i="2"/>
  <c r="D265" i="2"/>
  <c r="D273" i="2"/>
  <c r="G273" i="2" s="1"/>
  <c r="I273" i="2" s="1"/>
  <c r="D281" i="2"/>
  <c r="D289" i="2"/>
  <c r="G289" i="2" s="1"/>
  <c r="I289" i="2" s="1"/>
  <c r="D297" i="2"/>
  <c r="G297" i="2" s="1"/>
  <c r="I297" i="2" s="1"/>
  <c r="D305" i="2"/>
  <c r="G305" i="2" s="1"/>
  <c r="I305" i="2" s="1"/>
  <c r="D313" i="2"/>
  <c r="D321" i="2"/>
  <c r="D329" i="2"/>
  <c r="G329" i="2" s="1"/>
  <c r="I329" i="2" s="1"/>
  <c r="D337" i="2"/>
  <c r="D345" i="2"/>
  <c r="D353" i="2"/>
  <c r="D361" i="2"/>
  <c r="G361" i="2" s="1"/>
  <c r="I361" i="2" s="1"/>
  <c r="D258" i="2"/>
  <c r="G258" i="2" s="1"/>
  <c r="I258" i="2" s="1"/>
  <c r="D266" i="2"/>
  <c r="G266" i="2" s="1"/>
  <c r="I266" i="2" s="1"/>
  <c r="D274" i="2"/>
  <c r="G274" i="2" s="1"/>
  <c r="I274" i="2" s="1"/>
  <c r="D282" i="2"/>
  <c r="G282" i="2" s="1"/>
  <c r="I282" i="2" s="1"/>
  <c r="D290" i="2"/>
  <c r="D298" i="2"/>
  <c r="D306" i="2"/>
  <c r="D314" i="2"/>
  <c r="D322" i="2"/>
  <c r="D330" i="2"/>
  <c r="D338" i="2"/>
  <c r="D346" i="2"/>
  <c r="D354" i="2"/>
  <c r="D362" i="2"/>
  <c r="D259" i="2"/>
  <c r="G259" i="2" s="1"/>
  <c r="I259" i="2" s="1"/>
  <c r="D267" i="2"/>
  <c r="D275" i="2"/>
  <c r="D283" i="2"/>
  <c r="D291" i="2"/>
  <c r="G291" i="2" s="1"/>
  <c r="I291" i="2" s="1"/>
  <c r="D299" i="2"/>
  <c r="G299" i="2" s="1"/>
  <c r="I299" i="2" s="1"/>
  <c r="D307" i="2"/>
  <c r="G307" i="2" s="1"/>
  <c r="I307" i="2" s="1"/>
  <c r="D315" i="2"/>
  <c r="G315" i="2" s="1"/>
  <c r="I315" i="2" s="1"/>
  <c r="D323" i="2"/>
  <c r="D331" i="2"/>
  <c r="D339" i="2"/>
  <c r="G339" i="2" s="1"/>
  <c r="I339" i="2" s="1"/>
  <c r="D347" i="2"/>
  <c r="D355" i="2"/>
  <c r="D260" i="2"/>
  <c r="G260" i="2" s="1"/>
  <c r="I260" i="2" s="1"/>
  <c r="D268" i="2"/>
  <c r="D276" i="2"/>
  <c r="G276" i="2" s="1"/>
  <c r="I276" i="2" s="1"/>
  <c r="D284" i="2"/>
  <c r="G284" i="2" s="1"/>
  <c r="I284" i="2" s="1"/>
  <c r="D292" i="2"/>
  <c r="D300" i="2"/>
  <c r="G300" i="2" s="1"/>
  <c r="I300" i="2" s="1"/>
  <c r="D308" i="2"/>
  <c r="D316" i="2"/>
  <c r="D324" i="2"/>
  <c r="D332" i="2"/>
  <c r="G332" i="2" s="1"/>
  <c r="I332" i="2" s="1"/>
  <c r="D340" i="2"/>
  <c r="D348" i="2"/>
  <c r="D356" i="2"/>
  <c r="D261" i="2"/>
  <c r="G261" i="2" s="1"/>
  <c r="I261" i="2" s="1"/>
  <c r="D269" i="2"/>
  <c r="G269" i="2" s="1"/>
  <c r="I269" i="2" s="1"/>
  <c r="D277" i="2"/>
  <c r="G277" i="2" s="1"/>
  <c r="I277" i="2" s="1"/>
  <c r="D285" i="2"/>
  <c r="G285" i="2" s="1"/>
  <c r="I285" i="2" s="1"/>
  <c r="D293" i="2"/>
  <c r="D301" i="2"/>
  <c r="D309" i="2"/>
  <c r="G309" i="2" s="1"/>
  <c r="I309" i="2" s="1"/>
  <c r="D317" i="2"/>
  <c r="G317" i="2" s="1"/>
  <c r="I317" i="2" s="1"/>
  <c r="D325" i="2"/>
  <c r="D333" i="2"/>
  <c r="G333" i="2" s="1"/>
  <c r="I333" i="2" s="1"/>
  <c r="D341" i="2"/>
  <c r="G341" i="2" s="1"/>
  <c r="I341" i="2" s="1"/>
  <c r="D349" i="2"/>
  <c r="D357" i="2"/>
  <c r="D262" i="2"/>
  <c r="D270" i="2"/>
  <c r="D278" i="2"/>
  <c r="D286" i="2"/>
  <c r="G286" i="2" s="1"/>
  <c r="I286" i="2" s="1"/>
  <c r="D294" i="2"/>
  <c r="G294" i="2" s="1"/>
  <c r="I294" i="2" s="1"/>
  <c r="D302" i="2"/>
  <c r="G302" i="2" s="1"/>
  <c r="I302" i="2" s="1"/>
  <c r="D310" i="2"/>
  <c r="G310" i="2" s="1"/>
  <c r="I310" i="2" s="1"/>
  <c r="D318" i="2"/>
  <c r="D326" i="2"/>
  <c r="D334" i="2"/>
  <c r="G334" i="2" s="1"/>
  <c r="I334" i="2" s="1"/>
  <c r="D342" i="2"/>
  <c r="D350" i="2"/>
  <c r="G350" i="2" s="1"/>
  <c r="I350" i="2" s="1"/>
  <c r="D358" i="2"/>
  <c r="D263" i="2"/>
  <c r="G263" i="2" s="1"/>
  <c r="I263" i="2" s="1"/>
  <c r="D271" i="2"/>
  <c r="G271" i="2" s="1"/>
  <c r="I271" i="2" s="1"/>
  <c r="D279" i="2"/>
  <c r="G279" i="2" s="1"/>
  <c r="I279" i="2" s="1"/>
  <c r="D287" i="2"/>
  <c r="D295" i="2"/>
  <c r="D303" i="2"/>
  <c r="D311" i="2"/>
  <c r="D319" i="2"/>
  <c r="D327" i="2"/>
  <c r="G327" i="2" s="1"/>
  <c r="I327" i="2" s="1"/>
  <c r="D335" i="2"/>
  <c r="D343" i="2"/>
  <c r="D351" i="2"/>
  <c r="D359" i="2"/>
  <c r="F31" i="2"/>
  <c r="F135" i="2"/>
  <c r="F151" i="2"/>
  <c r="F255" i="2"/>
  <c r="F295" i="2"/>
  <c r="F351" i="2"/>
  <c r="F407" i="2"/>
  <c r="F431" i="2"/>
  <c r="F16" i="2"/>
  <c r="F360" i="2"/>
  <c r="F416" i="2"/>
  <c r="F424" i="2"/>
  <c r="F464" i="2"/>
  <c r="F81" i="2"/>
  <c r="F121" i="2"/>
  <c r="F58" i="2"/>
  <c r="F130" i="2"/>
  <c r="F178" i="2"/>
  <c r="F250" i="2"/>
  <c r="F306" i="2"/>
  <c r="F346" i="2"/>
  <c r="F386" i="2"/>
  <c r="F442" i="2"/>
  <c r="F91" i="2"/>
  <c r="F115" i="2"/>
  <c r="F211" i="2"/>
  <c r="F235" i="2"/>
  <c r="F283" i="2"/>
  <c r="F355" i="2"/>
  <c r="F451" i="2"/>
  <c r="F475" i="2"/>
  <c r="F515" i="2"/>
  <c r="F100" i="2"/>
  <c r="F108" i="2"/>
  <c r="F220" i="2"/>
  <c r="F228" i="2"/>
  <c r="F316" i="2"/>
  <c r="F340" i="2"/>
  <c r="F45" i="2"/>
  <c r="F133" i="2"/>
  <c r="F165" i="2"/>
  <c r="F253" i="2"/>
  <c r="F325" i="2"/>
  <c r="F333" i="2"/>
  <c r="F397" i="2"/>
  <c r="F70" i="2"/>
  <c r="F126" i="2"/>
  <c r="F190" i="2"/>
  <c r="F246" i="2"/>
  <c r="F270" i="2"/>
  <c r="F502" i="2"/>
  <c r="F527" i="2"/>
  <c r="F551" i="2"/>
  <c r="F575" i="2"/>
  <c r="F615" i="2"/>
  <c r="F623" i="2"/>
  <c r="F695" i="2"/>
  <c r="F711" i="2"/>
  <c r="F759" i="2"/>
  <c r="F775" i="2"/>
  <c r="E807" i="2"/>
  <c r="F358" i="2"/>
  <c r="F485" i="2"/>
  <c r="F520" i="2"/>
  <c r="F560" i="2"/>
  <c r="F568" i="2"/>
  <c r="F648" i="2"/>
  <c r="F704" i="2"/>
  <c r="F800" i="2"/>
  <c r="E816" i="2"/>
  <c r="F509" i="2"/>
  <c r="F529" i="2"/>
  <c r="F593" i="2"/>
  <c r="F641" i="2"/>
  <c r="F681" i="2"/>
  <c r="F729" i="2"/>
  <c r="F745" i="2"/>
  <c r="F793" i="2"/>
  <c r="F809" i="2"/>
  <c r="E137" i="2"/>
  <c r="E257" i="2"/>
  <c r="E697" i="2"/>
  <c r="E761" i="2"/>
  <c r="E817" i="2"/>
  <c r="F446" i="2"/>
  <c r="F586" i="2"/>
  <c r="F650" i="2"/>
  <c r="F690" i="2"/>
  <c r="F722" i="2"/>
  <c r="F754" i="2"/>
  <c r="F778" i="2"/>
  <c r="F786" i="2"/>
  <c r="E362" i="2"/>
  <c r="F241" i="2"/>
  <c r="F449" i="2"/>
  <c r="F595" i="2"/>
  <c r="F675" i="2"/>
  <c r="F731" i="2"/>
  <c r="F739" i="2"/>
  <c r="F771" i="2"/>
  <c r="F795" i="2"/>
  <c r="F803" i="2"/>
  <c r="F811" i="2"/>
  <c r="E531" i="2"/>
  <c r="F374" i="2"/>
  <c r="F494" i="2"/>
  <c r="F524" i="2"/>
  <c r="F636" i="2"/>
  <c r="F660" i="2"/>
  <c r="F668" i="2"/>
  <c r="F780" i="2"/>
  <c r="E652" i="2"/>
  <c r="F541" i="2"/>
  <c r="F581" i="2"/>
  <c r="F645" i="2"/>
  <c r="F693" i="2"/>
  <c r="F717" i="2"/>
  <c r="F757" i="2"/>
  <c r="F805" i="2"/>
  <c r="E453" i="2"/>
  <c r="E597" i="2"/>
  <c r="E733" i="2"/>
  <c r="E797" i="2"/>
  <c r="E813" i="2"/>
  <c r="F201" i="2"/>
  <c r="F437" i="2"/>
  <c r="F590" i="2"/>
  <c r="F606" i="2"/>
  <c r="F630" i="2"/>
  <c r="F686" i="2"/>
  <c r="F726" i="2"/>
  <c r="F750" i="2"/>
  <c r="F766" i="2"/>
  <c r="F790" i="2"/>
  <c r="F814" i="2"/>
  <c r="E782" i="2"/>
  <c r="F79" i="2"/>
  <c r="F119" i="2"/>
  <c r="F199" i="2"/>
  <c r="F239" i="2"/>
  <c r="F56" i="2"/>
  <c r="F128" i="2"/>
  <c r="F176" i="2"/>
  <c r="F248" i="2"/>
  <c r="F304" i="2"/>
  <c r="F344" i="2"/>
  <c r="F384" i="2"/>
  <c r="F440" i="2"/>
  <c r="F89" i="2"/>
  <c r="F113" i="2"/>
  <c r="F98" i="2"/>
  <c r="F106" i="2"/>
  <c r="F218" i="2"/>
  <c r="F226" i="2"/>
  <c r="F314" i="2"/>
  <c r="F338" i="2"/>
  <c r="F43" i="2"/>
  <c r="F163" i="2"/>
  <c r="F323" i="2"/>
  <c r="F331" i="2"/>
  <c r="F395" i="2"/>
  <c r="F435" i="2"/>
  <c r="F483" i="2"/>
  <c r="F507" i="2"/>
  <c r="F68" i="2"/>
  <c r="F124" i="2"/>
  <c r="F188" i="2"/>
  <c r="F244" i="2"/>
  <c r="F268" i="2"/>
  <c r="F372" i="2"/>
  <c r="F444" i="2"/>
  <c r="F492" i="2"/>
  <c r="F500" i="2"/>
  <c r="F29" i="2"/>
  <c r="F149" i="2"/>
  <c r="F293" i="2"/>
  <c r="F349" i="2"/>
  <c r="F405" i="2"/>
  <c r="F14" i="2"/>
  <c r="F209" i="2"/>
  <c r="F353" i="2"/>
  <c r="F639" i="2"/>
  <c r="F679" i="2"/>
  <c r="F743" i="2"/>
  <c r="E359" i="2"/>
  <c r="E527" i="2"/>
  <c r="E647" i="2"/>
  <c r="F281" i="2"/>
  <c r="F462" i="2"/>
  <c r="F584" i="2"/>
  <c r="F688" i="2"/>
  <c r="F720" i="2"/>
  <c r="F752" i="2"/>
  <c r="F784" i="2"/>
  <c r="E448" i="2"/>
  <c r="E528" i="2"/>
  <c r="E592" i="2"/>
  <c r="E648" i="2"/>
  <c r="E728" i="2"/>
  <c r="E792" i="2"/>
  <c r="E808" i="2"/>
  <c r="F422" i="2"/>
  <c r="F673" i="2"/>
  <c r="F737" i="2"/>
  <c r="F769" i="2"/>
  <c r="E449" i="2"/>
  <c r="E593" i="2"/>
  <c r="E649" i="2"/>
  <c r="E729" i="2"/>
  <c r="E777" i="2"/>
  <c r="E793" i="2"/>
  <c r="E809" i="2"/>
  <c r="F233" i="2"/>
  <c r="F522" i="2"/>
  <c r="F634" i="2"/>
  <c r="F658" i="2"/>
  <c r="F666" i="2"/>
  <c r="E450" i="2"/>
  <c r="E594" i="2"/>
  <c r="E730" i="2"/>
  <c r="E778" i="2"/>
  <c r="E794" i="2"/>
  <c r="E802" i="2"/>
  <c r="E810" i="2"/>
  <c r="F429" i="2"/>
  <c r="F513" i="2"/>
  <c r="F539" i="2"/>
  <c r="F579" i="2"/>
  <c r="F643" i="2"/>
  <c r="F715" i="2"/>
  <c r="E779" i="2"/>
  <c r="E803" i="2"/>
  <c r="F473" i="2"/>
  <c r="F588" i="2"/>
  <c r="F604" i="2"/>
  <c r="F628" i="2"/>
  <c r="F684" i="2"/>
  <c r="F724" i="2"/>
  <c r="F748" i="2"/>
  <c r="F764" i="2"/>
  <c r="F788" i="2"/>
  <c r="E132" i="2"/>
  <c r="E252" i="2"/>
  <c r="E692" i="2"/>
  <c r="E756" i="2"/>
  <c r="E804" i="2"/>
  <c r="F549" i="2"/>
  <c r="F573" i="2"/>
  <c r="F613" i="2"/>
  <c r="F621" i="2"/>
  <c r="F709" i="2"/>
  <c r="F773" i="2"/>
  <c r="E133" i="2"/>
  <c r="E253" i="2"/>
  <c r="E357" i="2"/>
  <c r="E693" i="2"/>
  <c r="E757" i="2"/>
  <c r="F414" i="2"/>
  <c r="F518" i="2"/>
  <c r="F558" i="2"/>
  <c r="F566" i="2"/>
  <c r="F702" i="2"/>
  <c r="F798" i="2"/>
  <c r="E134" i="2"/>
  <c r="E254" i="2"/>
  <c r="E358" i="2"/>
  <c r="E526" i="2"/>
  <c r="E694" i="2"/>
  <c r="E758" i="2"/>
  <c r="D816" i="2"/>
  <c r="G816" i="2" s="1"/>
  <c r="I816" i="2" s="1"/>
  <c r="D814" i="2"/>
  <c r="G814" i="2" s="1"/>
  <c r="I814" i="2" s="1"/>
  <c r="D815" i="2"/>
  <c r="G815" i="2" s="1"/>
  <c r="I815" i="2" s="1"/>
  <c r="F95" i="2"/>
  <c r="F103" i="2"/>
  <c r="F215" i="2"/>
  <c r="F223" i="2"/>
  <c r="F311" i="2"/>
  <c r="F335" i="2"/>
  <c r="F40" i="2"/>
  <c r="F160" i="2"/>
  <c r="F320" i="2"/>
  <c r="F328" i="2"/>
  <c r="F392" i="2"/>
  <c r="F480" i="2"/>
  <c r="F504" i="2"/>
  <c r="F65" i="2"/>
  <c r="F185" i="2"/>
  <c r="F26" i="2"/>
  <c r="F146" i="2"/>
  <c r="F290" i="2"/>
  <c r="F402" i="2"/>
  <c r="F426" i="2"/>
  <c r="F11" i="2"/>
  <c r="F411" i="2"/>
  <c r="F419" i="2"/>
  <c r="F459" i="2"/>
  <c r="F76" i="2"/>
  <c r="F196" i="2"/>
  <c r="F53" i="2"/>
  <c r="F173" i="2"/>
  <c r="F301" i="2"/>
  <c r="F381" i="2"/>
  <c r="F86" i="2"/>
  <c r="F110" i="2"/>
  <c r="F206" i="2"/>
  <c r="F230" i="2"/>
  <c r="F278" i="2"/>
  <c r="F655" i="2"/>
  <c r="F663" i="2"/>
  <c r="E119" i="2"/>
  <c r="E239" i="2"/>
  <c r="E343" i="2"/>
  <c r="E511" i="2"/>
  <c r="E679" i="2"/>
  <c r="E743" i="2"/>
  <c r="E767" i="2"/>
  <c r="F536" i="2"/>
  <c r="E120" i="2"/>
  <c r="E240" i="2"/>
  <c r="E344" i="2"/>
  <c r="E512" i="2"/>
  <c r="E632" i="2"/>
  <c r="E680" i="2"/>
  <c r="E744" i="2"/>
  <c r="F601" i="2"/>
  <c r="F625" i="2"/>
  <c r="E121" i="2"/>
  <c r="E241" i="2"/>
  <c r="E345" i="2"/>
  <c r="E433" i="2"/>
  <c r="E513" i="2"/>
  <c r="E577" i="2"/>
  <c r="E633" i="2"/>
  <c r="E681" i="2"/>
  <c r="E713" i="2"/>
  <c r="E745" i="2"/>
  <c r="F489" i="2"/>
  <c r="F546" i="2"/>
  <c r="F570" i="2"/>
  <c r="F610" i="2"/>
  <c r="F618" i="2"/>
  <c r="F706" i="2"/>
  <c r="E122" i="2"/>
  <c r="E242" i="2"/>
  <c r="E346" i="2"/>
  <c r="E434" i="2"/>
  <c r="E514" i="2"/>
  <c r="E578" i="2"/>
  <c r="E634" i="2"/>
  <c r="E682" i="2"/>
  <c r="E714" i="2"/>
  <c r="E746" i="2"/>
  <c r="E762" i="2"/>
  <c r="F369" i="2"/>
  <c r="F470" i="2"/>
  <c r="F555" i="2"/>
  <c r="F563" i="2"/>
  <c r="F699" i="2"/>
  <c r="E347" i="2"/>
  <c r="E435" i="2"/>
  <c r="E515" i="2"/>
  <c r="E579" i="2"/>
  <c r="E635" i="2"/>
  <c r="E715" i="2"/>
  <c r="E763" i="2"/>
  <c r="E436" i="2"/>
  <c r="E516" i="2"/>
  <c r="E580" i="2"/>
  <c r="E636" i="2"/>
  <c r="E716" i="2"/>
  <c r="E764" i="2"/>
  <c r="F497" i="2"/>
  <c r="E117" i="2"/>
  <c r="E237" i="2"/>
  <c r="E437" i="2"/>
  <c r="E581" i="2"/>
  <c r="E637" i="2"/>
  <c r="E677" i="2"/>
  <c r="E717" i="2"/>
  <c r="E741" i="2"/>
  <c r="E765" i="2"/>
  <c r="F265" i="2"/>
  <c r="F670" i="2"/>
  <c r="F734" i="2"/>
  <c r="E118" i="2"/>
  <c r="E238" i="2"/>
  <c r="E342" i="2"/>
  <c r="E438" i="2"/>
  <c r="E582" i="2"/>
  <c r="E678" i="2"/>
  <c r="E718" i="2"/>
  <c r="E742" i="2"/>
  <c r="E766" i="2"/>
  <c r="D784" i="2"/>
  <c r="G784" i="2" s="1"/>
  <c r="I784" i="2" s="1"/>
  <c r="D792" i="2"/>
  <c r="G792" i="2" s="1"/>
  <c r="I792" i="2" s="1"/>
  <c r="D785" i="2"/>
  <c r="G785" i="2" s="1"/>
  <c r="I785" i="2" s="1"/>
  <c r="D793" i="2"/>
  <c r="G793" i="2" s="1"/>
  <c r="I793" i="2" s="1"/>
  <c r="D786" i="2"/>
  <c r="G786" i="2" s="1"/>
  <c r="I786" i="2" s="1"/>
  <c r="D794" i="2"/>
  <c r="G794" i="2" s="1"/>
  <c r="I794" i="2" s="1"/>
  <c r="D787" i="2"/>
  <c r="G787" i="2" s="1"/>
  <c r="I787" i="2" s="1"/>
  <c r="D795" i="2"/>
  <c r="G795" i="2" s="1"/>
  <c r="I795" i="2" s="1"/>
  <c r="D788" i="2"/>
  <c r="D796" i="2"/>
  <c r="G796" i="2" s="1"/>
  <c r="I796" i="2" s="1"/>
  <c r="D789" i="2"/>
  <c r="D797" i="2"/>
  <c r="G797" i="2" s="1"/>
  <c r="I797" i="2" s="1"/>
  <c r="D790" i="2"/>
  <c r="D783" i="2"/>
  <c r="D791" i="2"/>
  <c r="F23" i="2"/>
  <c r="F143" i="2"/>
  <c r="F287" i="2"/>
  <c r="F399" i="2"/>
  <c r="F8" i="2"/>
  <c r="F456" i="2"/>
  <c r="F73" i="2"/>
  <c r="F50" i="2"/>
  <c r="F170" i="2"/>
  <c r="F298" i="2"/>
  <c r="F378" i="2"/>
  <c r="F83" i="2"/>
  <c r="F203" i="2"/>
  <c r="F275" i="2"/>
  <c r="F467" i="2"/>
  <c r="F308" i="2"/>
  <c r="F37" i="2"/>
  <c r="F157" i="2"/>
  <c r="F389" i="2"/>
  <c r="F62" i="2"/>
  <c r="F182" i="2"/>
  <c r="F262" i="2"/>
  <c r="F543" i="2"/>
  <c r="E95" i="2"/>
  <c r="E215" i="2"/>
  <c r="E319" i="2"/>
  <c r="E415" i="2"/>
  <c r="E487" i="2"/>
  <c r="E495" i="2"/>
  <c r="E559" i="2"/>
  <c r="E615" i="2"/>
  <c r="E655" i="2"/>
  <c r="E96" i="2"/>
  <c r="E216" i="2"/>
  <c r="E320" i="2"/>
  <c r="E416" i="2"/>
  <c r="E488" i="2"/>
  <c r="E560" i="2"/>
  <c r="E608" i="2"/>
  <c r="E616" i="2"/>
  <c r="E656" i="2"/>
  <c r="E97" i="2"/>
  <c r="E217" i="2"/>
  <c r="E321" i="2"/>
  <c r="E409" i="2"/>
  <c r="E417" i="2"/>
  <c r="E489" i="2"/>
  <c r="E553" i="2"/>
  <c r="E561" i="2"/>
  <c r="E609" i="2"/>
  <c r="E657" i="2"/>
  <c r="F366" i="2"/>
  <c r="E98" i="2"/>
  <c r="E218" i="2"/>
  <c r="E322" i="2"/>
  <c r="E410" i="2"/>
  <c r="E490" i="2"/>
  <c r="E554" i="2"/>
  <c r="E610" i="2"/>
  <c r="E658" i="2"/>
  <c r="E99" i="2"/>
  <c r="E219" i="2"/>
  <c r="E323" i="2"/>
  <c r="E411" i="2"/>
  <c r="E491" i="2"/>
  <c r="E555" i="2"/>
  <c r="E611" i="2"/>
  <c r="E659" i="2"/>
  <c r="E100" i="2"/>
  <c r="E220" i="2"/>
  <c r="E324" i="2"/>
  <c r="E412" i="2"/>
  <c r="E492" i="2"/>
  <c r="E556" i="2"/>
  <c r="E612" i="2"/>
  <c r="E660" i="2"/>
  <c r="F193" i="2"/>
  <c r="F477" i="2"/>
  <c r="F533" i="2"/>
  <c r="E93" i="2"/>
  <c r="E101" i="2"/>
  <c r="E213" i="2"/>
  <c r="E221" i="2"/>
  <c r="E325" i="2"/>
  <c r="E413" i="2"/>
  <c r="E493" i="2"/>
  <c r="E557" i="2"/>
  <c r="E613" i="2"/>
  <c r="E653" i="2"/>
  <c r="E661" i="2"/>
  <c r="F598" i="2"/>
  <c r="E94" i="2"/>
  <c r="E214" i="2"/>
  <c r="E318" i="2"/>
  <c r="E326" i="2"/>
  <c r="E414" i="2"/>
  <c r="E494" i="2"/>
  <c r="E558" i="2"/>
  <c r="E614" i="2"/>
  <c r="E654" i="2"/>
  <c r="D704" i="2"/>
  <c r="G704" i="2" s="1"/>
  <c r="I704" i="2" s="1"/>
  <c r="D712" i="2"/>
  <c r="G712" i="2" s="1"/>
  <c r="I712" i="2" s="1"/>
  <c r="D720" i="2"/>
  <c r="G720" i="2" s="1"/>
  <c r="I720" i="2" s="1"/>
  <c r="D728" i="2"/>
  <c r="G728" i="2" s="1"/>
  <c r="I728" i="2" s="1"/>
  <c r="D705" i="2"/>
  <c r="G705" i="2" s="1"/>
  <c r="I705" i="2" s="1"/>
  <c r="D713" i="2"/>
  <c r="G713" i="2" s="1"/>
  <c r="I713" i="2" s="1"/>
  <c r="D721" i="2"/>
  <c r="G721" i="2" s="1"/>
  <c r="I721" i="2" s="1"/>
  <c r="D729" i="2"/>
  <c r="G729" i="2" s="1"/>
  <c r="I729" i="2" s="1"/>
  <c r="D698" i="2"/>
  <c r="G698" i="2" s="1"/>
  <c r="I698" i="2" s="1"/>
  <c r="D706" i="2"/>
  <c r="G706" i="2" s="1"/>
  <c r="I706" i="2" s="1"/>
  <c r="D714" i="2"/>
  <c r="D722" i="2"/>
  <c r="G722" i="2" s="1"/>
  <c r="I722" i="2" s="1"/>
  <c r="D730" i="2"/>
  <c r="G730" i="2" s="1"/>
  <c r="I730" i="2" s="1"/>
  <c r="D699" i="2"/>
  <c r="G699" i="2" s="1"/>
  <c r="I699" i="2" s="1"/>
  <c r="D707" i="2"/>
  <c r="G707" i="2" s="1"/>
  <c r="I707" i="2" s="1"/>
  <c r="D715" i="2"/>
  <c r="G715" i="2" s="1"/>
  <c r="I715" i="2" s="1"/>
  <c r="D723" i="2"/>
  <c r="G723" i="2" s="1"/>
  <c r="I723" i="2" s="1"/>
  <c r="D731" i="2"/>
  <c r="G731" i="2" s="1"/>
  <c r="I731" i="2" s="1"/>
  <c r="D700" i="2"/>
  <c r="G700" i="2" s="1"/>
  <c r="I700" i="2" s="1"/>
  <c r="D708" i="2"/>
  <c r="D716" i="2"/>
  <c r="G716" i="2" s="1"/>
  <c r="I716" i="2" s="1"/>
  <c r="D724" i="2"/>
  <c r="D732" i="2"/>
  <c r="G732" i="2" s="1"/>
  <c r="I732" i="2" s="1"/>
  <c r="D701" i="2"/>
  <c r="D709" i="2"/>
  <c r="G709" i="2" s="1"/>
  <c r="I709" i="2" s="1"/>
  <c r="D717" i="2"/>
  <c r="G717" i="2" s="1"/>
  <c r="I717" i="2" s="1"/>
  <c r="D725" i="2"/>
  <c r="D733" i="2"/>
  <c r="G733" i="2" s="1"/>
  <c r="I733" i="2" s="1"/>
  <c r="D702" i="2"/>
  <c r="G702" i="2" s="1"/>
  <c r="I702" i="2" s="1"/>
  <c r="D710" i="2"/>
  <c r="G710" i="2" s="1"/>
  <c r="I710" i="2" s="1"/>
  <c r="D718" i="2"/>
  <c r="G718" i="2" s="1"/>
  <c r="I718" i="2" s="1"/>
  <c r="D726" i="2"/>
  <c r="D703" i="2"/>
  <c r="G703" i="2" s="1"/>
  <c r="I703" i="2" s="1"/>
  <c r="D711" i="2"/>
  <c r="G711" i="2" s="1"/>
  <c r="I711" i="2" s="1"/>
  <c r="D719" i="2"/>
  <c r="D727" i="2"/>
  <c r="E7" i="2"/>
  <c r="E15" i="2"/>
  <c r="D143" i="2"/>
  <c r="G143" i="2" s="1"/>
  <c r="I143" i="2" s="1"/>
  <c r="D151" i="2"/>
  <c r="G151" i="2" s="1"/>
  <c r="I151" i="2" s="1"/>
  <c r="D159" i="2"/>
  <c r="G159" i="2" s="1"/>
  <c r="I159" i="2" s="1"/>
  <c r="E8" i="2"/>
  <c r="E16" i="2"/>
  <c r="D144" i="2"/>
  <c r="G144" i="2" s="1"/>
  <c r="I144" i="2" s="1"/>
  <c r="D152" i="2"/>
  <c r="G152" i="2" s="1"/>
  <c r="I152" i="2" s="1"/>
  <c r="E9" i="2"/>
  <c r="E17" i="2"/>
  <c r="E10" i="2"/>
  <c r="E2" i="2"/>
  <c r="E3" i="2"/>
  <c r="E11" i="2"/>
  <c r="E4" i="2"/>
  <c r="E12" i="2"/>
  <c r="E5" i="2"/>
  <c r="E13" i="2"/>
  <c r="E6" i="2"/>
  <c r="E14" i="2"/>
  <c r="D139" i="2"/>
  <c r="G139" i="2" s="1"/>
  <c r="I139" i="2" s="1"/>
  <c r="D149" i="2"/>
  <c r="G149" i="2" s="1"/>
  <c r="I149" i="2" s="1"/>
  <c r="D160" i="2"/>
  <c r="G160" i="2" s="1"/>
  <c r="I160" i="2" s="1"/>
  <c r="D168" i="2"/>
  <c r="G168" i="2" s="1"/>
  <c r="I168" i="2" s="1"/>
  <c r="D176" i="2"/>
  <c r="G176" i="2" s="1"/>
  <c r="I176" i="2" s="1"/>
  <c r="D184" i="2"/>
  <c r="G184" i="2" s="1"/>
  <c r="I184" i="2" s="1"/>
  <c r="D192" i="2"/>
  <c r="G192" i="2" s="1"/>
  <c r="I192" i="2" s="1"/>
  <c r="D200" i="2"/>
  <c r="G200" i="2" s="1"/>
  <c r="I200" i="2" s="1"/>
  <c r="D208" i="2"/>
  <c r="D216" i="2"/>
  <c r="G216" i="2" s="1"/>
  <c r="I216" i="2" s="1"/>
  <c r="D224" i="2"/>
  <c r="G224" i="2" s="1"/>
  <c r="I224" i="2" s="1"/>
  <c r="D232" i="2"/>
  <c r="D240" i="2"/>
  <c r="G240" i="2" s="1"/>
  <c r="I240" i="2" s="1"/>
  <c r="D248" i="2"/>
  <c r="D256" i="2"/>
  <c r="G256" i="2" s="1"/>
  <c r="I256" i="2" s="1"/>
  <c r="D140" i="2"/>
  <c r="G140" i="2" s="1"/>
  <c r="I140" i="2" s="1"/>
  <c r="D150" i="2"/>
  <c r="G150" i="2" s="1"/>
  <c r="I150" i="2" s="1"/>
  <c r="D161" i="2"/>
  <c r="G161" i="2" s="1"/>
  <c r="I161" i="2" s="1"/>
  <c r="D169" i="2"/>
  <c r="G169" i="2" s="1"/>
  <c r="I169" i="2" s="1"/>
  <c r="D177" i="2"/>
  <c r="G177" i="2" s="1"/>
  <c r="I177" i="2" s="1"/>
  <c r="D185" i="2"/>
  <c r="G185" i="2" s="1"/>
  <c r="I185" i="2" s="1"/>
  <c r="D193" i="2"/>
  <c r="G193" i="2" s="1"/>
  <c r="I193" i="2" s="1"/>
  <c r="D201" i="2"/>
  <c r="G201" i="2" s="1"/>
  <c r="I201" i="2" s="1"/>
  <c r="D209" i="2"/>
  <c r="G209" i="2" s="1"/>
  <c r="I209" i="2" s="1"/>
  <c r="D217" i="2"/>
  <c r="D225" i="2"/>
  <c r="D233" i="2"/>
  <c r="G233" i="2" s="1"/>
  <c r="I233" i="2" s="1"/>
  <c r="D241" i="2"/>
  <c r="G241" i="2" s="1"/>
  <c r="I241" i="2" s="1"/>
  <c r="D249" i="2"/>
  <c r="D257" i="2"/>
  <c r="G257" i="2" s="1"/>
  <c r="I257" i="2" s="1"/>
  <c r="D141" i="2"/>
  <c r="G141" i="2" s="1"/>
  <c r="I141" i="2" s="1"/>
  <c r="D153" i="2"/>
  <c r="G153" i="2" s="1"/>
  <c r="I153" i="2" s="1"/>
  <c r="D162" i="2"/>
  <c r="D170" i="2"/>
  <c r="G170" i="2" s="1"/>
  <c r="I170" i="2" s="1"/>
  <c r="D178" i="2"/>
  <c r="G178" i="2" s="1"/>
  <c r="I178" i="2" s="1"/>
  <c r="D186" i="2"/>
  <c r="G186" i="2" s="1"/>
  <c r="I186" i="2" s="1"/>
  <c r="D194" i="2"/>
  <c r="G194" i="2" s="1"/>
  <c r="I194" i="2" s="1"/>
  <c r="D202" i="2"/>
  <c r="G202" i="2" s="1"/>
  <c r="I202" i="2" s="1"/>
  <c r="D210" i="2"/>
  <c r="G210" i="2" s="1"/>
  <c r="I210" i="2" s="1"/>
  <c r="D218" i="2"/>
  <c r="G218" i="2" s="1"/>
  <c r="I218" i="2" s="1"/>
  <c r="D226" i="2"/>
  <c r="G226" i="2" s="1"/>
  <c r="I226" i="2" s="1"/>
  <c r="D234" i="2"/>
  <c r="G234" i="2" s="1"/>
  <c r="I234" i="2" s="1"/>
  <c r="D242" i="2"/>
  <c r="G242" i="2" s="1"/>
  <c r="I242" i="2" s="1"/>
  <c r="D250" i="2"/>
  <c r="D142" i="2"/>
  <c r="G142" i="2" s="1"/>
  <c r="I142" i="2" s="1"/>
  <c r="D154" i="2"/>
  <c r="G154" i="2" s="1"/>
  <c r="I154" i="2" s="1"/>
  <c r="D163" i="2"/>
  <c r="G163" i="2" s="1"/>
  <c r="I163" i="2" s="1"/>
  <c r="D171" i="2"/>
  <c r="G171" i="2" s="1"/>
  <c r="I171" i="2" s="1"/>
  <c r="D179" i="2"/>
  <c r="G179" i="2" s="1"/>
  <c r="I179" i="2" s="1"/>
  <c r="D187" i="2"/>
  <c r="D195" i="2"/>
  <c r="G195" i="2" s="1"/>
  <c r="I195" i="2" s="1"/>
  <c r="D203" i="2"/>
  <c r="G203" i="2" s="1"/>
  <c r="I203" i="2" s="1"/>
  <c r="D211" i="2"/>
  <c r="G211" i="2" s="1"/>
  <c r="I211" i="2" s="1"/>
  <c r="D219" i="2"/>
  <c r="G219" i="2" s="1"/>
  <c r="I219" i="2" s="1"/>
  <c r="D227" i="2"/>
  <c r="G227" i="2" s="1"/>
  <c r="I227" i="2" s="1"/>
  <c r="D235" i="2"/>
  <c r="G235" i="2" s="1"/>
  <c r="I235" i="2" s="1"/>
  <c r="D243" i="2"/>
  <c r="D251" i="2"/>
  <c r="D145" i="2"/>
  <c r="G145" i="2" s="1"/>
  <c r="I145" i="2" s="1"/>
  <c r="D155" i="2"/>
  <c r="G155" i="2" s="1"/>
  <c r="I155" i="2" s="1"/>
  <c r="D164" i="2"/>
  <c r="G164" i="2" s="1"/>
  <c r="I164" i="2" s="1"/>
  <c r="D172" i="2"/>
  <c r="G172" i="2" s="1"/>
  <c r="I172" i="2" s="1"/>
  <c r="D180" i="2"/>
  <c r="G180" i="2" s="1"/>
  <c r="I180" i="2" s="1"/>
  <c r="D188" i="2"/>
  <c r="G188" i="2" s="1"/>
  <c r="I188" i="2" s="1"/>
  <c r="D196" i="2"/>
  <c r="G196" i="2" s="1"/>
  <c r="I196" i="2" s="1"/>
  <c r="D204" i="2"/>
  <c r="G204" i="2" s="1"/>
  <c r="I204" i="2" s="1"/>
  <c r="D212" i="2"/>
  <c r="G212" i="2" s="1"/>
  <c r="I212" i="2" s="1"/>
  <c r="D220" i="2"/>
  <c r="G220" i="2" s="1"/>
  <c r="I220" i="2" s="1"/>
  <c r="D228" i="2"/>
  <c r="G228" i="2" s="1"/>
  <c r="I228" i="2" s="1"/>
  <c r="D236" i="2"/>
  <c r="G236" i="2" s="1"/>
  <c r="I236" i="2" s="1"/>
  <c r="D244" i="2"/>
  <c r="G244" i="2" s="1"/>
  <c r="I244" i="2" s="1"/>
  <c r="D252" i="2"/>
  <c r="G252" i="2" s="1"/>
  <c r="I252" i="2" s="1"/>
  <c r="D146" i="2"/>
  <c r="G146" i="2" s="1"/>
  <c r="I146" i="2" s="1"/>
  <c r="D156" i="2"/>
  <c r="G156" i="2" s="1"/>
  <c r="I156" i="2" s="1"/>
  <c r="D165" i="2"/>
  <c r="G165" i="2" s="1"/>
  <c r="I165" i="2" s="1"/>
  <c r="D173" i="2"/>
  <c r="G173" i="2" s="1"/>
  <c r="I173" i="2" s="1"/>
  <c r="D181" i="2"/>
  <c r="G181" i="2" s="1"/>
  <c r="I181" i="2" s="1"/>
  <c r="D189" i="2"/>
  <c r="G189" i="2" s="1"/>
  <c r="I189" i="2" s="1"/>
  <c r="D197" i="2"/>
  <c r="G197" i="2" s="1"/>
  <c r="I197" i="2" s="1"/>
  <c r="D205" i="2"/>
  <c r="G205" i="2" s="1"/>
  <c r="I205" i="2" s="1"/>
  <c r="D213" i="2"/>
  <c r="G213" i="2" s="1"/>
  <c r="I213" i="2" s="1"/>
  <c r="D221" i="2"/>
  <c r="G221" i="2" s="1"/>
  <c r="I221" i="2" s="1"/>
  <c r="D229" i="2"/>
  <c r="G229" i="2" s="1"/>
  <c r="I229" i="2" s="1"/>
  <c r="D237" i="2"/>
  <c r="G237" i="2" s="1"/>
  <c r="I237" i="2" s="1"/>
  <c r="D245" i="2"/>
  <c r="G245" i="2" s="1"/>
  <c r="I245" i="2" s="1"/>
  <c r="D253" i="2"/>
  <c r="G253" i="2" s="1"/>
  <c r="I253" i="2" s="1"/>
  <c r="D147" i="2"/>
  <c r="G147" i="2" s="1"/>
  <c r="I147" i="2" s="1"/>
  <c r="D157" i="2"/>
  <c r="G157" i="2" s="1"/>
  <c r="I157" i="2" s="1"/>
  <c r="D166" i="2"/>
  <c r="G166" i="2" s="1"/>
  <c r="I166" i="2" s="1"/>
  <c r="D174" i="2"/>
  <c r="G174" i="2" s="1"/>
  <c r="I174" i="2" s="1"/>
  <c r="D182" i="2"/>
  <c r="G182" i="2" s="1"/>
  <c r="I182" i="2" s="1"/>
  <c r="D190" i="2"/>
  <c r="G190" i="2" s="1"/>
  <c r="I190" i="2" s="1"/>
  <c r="D198" i="2"/>
  <c r="D206" i="2"/>
  <c r="G206" i="2" s="1"/>
  <c r="I206" i="2" s="1"/>
  <c r="D214" i="2"/>
  <c r="G214" i="2" s="1"/>
  <c r="I214" i="2" s="1"/>
  <c r="D222" i="2"/>
  <c r="G222" i="2" s="1"/>
  <c r="I222" i="2" s="1"/>
  <c r="D230" i="2"/>
  <c r="G230" i="2" s="1"/>
  <c r="I230" i="2" s="1"/>
  <c r="D238" i="2"/>
  <c r="D246" i="2"/>
  <c r="G246" i="2" s="1"/>
  <c r="I246" i="2" s="1"/>
  <c r="D254" i="2"/>
  <c r="G254" i="2" s="1"/>
  <c r="I254" i="2" s="1"/>
  <c r="D138" i="2"/>
  <c r="G138" i="2" s="1"/>
  <c r="I138" i="2" s="1"/>
  <c r="D148" i="2"/>
  <c r="G148" i="2" s="1"/>
  <c r="I148" i="2" s="1"/>
  <c r="D158" i="2"/>
  <c r="G158" i="2" s="1"/>
  <c r="I158" i="2" s="1"/>
  <c r="D167" i="2"/>
  <c r="G167" i="2" s="1"/>
  <c r="I167" i="2" s="1"/>
  <c r="D175" i="2"/>
  <c r="G175" i="2" s="1"/>
  <c r="I175" i="2" s="1"/>
  <c r="D183" i="2"/>
  <c r="G183" i="2" s="1"/>
  <c r="I183" i="2" s="1"/>
  <c r="D191" i="2"/>
  <c r="G191" i="2" s="1"/>
  <c r="I191" i="2" s="1"/>
  <c r="D199" i="2"/>
  <c r="G199" i="2" s="1"/>
  <c r="I199" i="2" s="1"/>
  <c r="D207" i="2"/>
  <c r="G207" i="2" s="1"/>
  <c r="I207" i="2" s="1"/>
  <c r="D215" i="2"/>
  <c r="G215" i="2" s="1"/>
  <c r="I215" i="2" s="1"/>
  <c r="D223" i="2"/>
  <c r="G223" i="2" s="1"/>
  <c r="I223" i="2" s="1"/>
  <c r="D231" i="2"/>
  <c r="G231" i="2" s="1"/>
  <c r="I231" i="2" s="1"/>
  <c r="D239" i="2"/>
  <c r="G239" i="2" s="1"/>
  <c r="I239" i="2" s="1"/>
  <c r="D247" i="2"/>
  <c r="G247" i="2" s="1"/>
  <c r="I247" i="2" s="1"/>
  <c r="D255" i="2"/>
  <c r="G255" i="2" s="1"/>
  <c r="I255" i="2" s="1"/>
  <c r="F55" i="2"/>
  <c r="F175" i="2"/>
  <c r="F303" i="2"/>
  <c r="F343" i="2"/>
  <c r="F383" i="2"/>
  <c r="F439" i="2"/>
  <c r="F88" i="2"/>
  <c r="F112" i="2"/>
  <c r="F208" i="2"/>
  <c r="F232" i="2"/>
  <c r="F280" i="2"/>
  <c r="F472" i="2"/>
  <c r="F512" i="2"/>
  <c r="F97" i="2"/>
  <c r="F105" i="2"/>
  <c r="F42" i="2"/>
  <c r="F162" i="2"/>
  <c r="F322" i="2"/>
  <c r="F330" i="2"/>
  <c r="F394" i="2"/>
  <c r="F434" i="2"/>
  <c r="F482" i="2"/>
  <c r="F506" i="2"/>
  <c r="F67" i="2"/>
  <c r="F123" i="2"/>
  <c r="F187" i="2"/>
  <c r="F243" i="2"/>
  <c r="F267" i="2"/>
  <c r="F371" i="2"/>
  <c r="F491" i="2"/>
  <c r="F499" i="2"/>
  <c r="F28" i="2"/>
  <c r="F148" i="2"/>
  <c r="F292" i="2"/>
  <c r="F348" i="2"/>
  <c r="F404" i="2"/>
  <c r="F428" i="2"/>
  <c r="F13" i="2"/>
  <c r="F413" i="2"/>
  <c r="F78" i="2"/>
  <c r="F118" i="2"/>
  <c r="F198" i="2"/>
  <c r="F238" i="2"/>
  <c r="F461" i="2"/>
  <c r="F583" i="2"/>
  <c r="F719" i="2"/>
  <c r="F783" i="2"/>
  <c r="E447" i="2"/>
  <c r="E591" i="2"/>
  <c r="E727" i="2"/>
  <c r="E775" i="2"/>
  <c r="E791" i="2"/>
  <c r="E799" i="2"/>
  <c r="F217" i="2"/>
  <c r="F421" i="2"/>
  <c r="F672" i="2"/>
  <c r="F736" i="2"/>
  <c r="F768" i="2"/>
  <c r="E128" i="2"/>
  <c r="E248" i="2"/>
  <c r="E688" i="2"/>
  <c r="E752" i="2"/>
  <c r="E776" i="2"/>
  <c r="E800" i="2"/>
  <c r="F225" i="2"/>
  <c r="F633" i="2"/>
  <c r="F657" i="2"/>
  <c r="F665" i="2"/>
  <c r="E129" i="2"/>
  <c r="E249" i="2"/>
  <c r="E353" i="2"/>
  <c r="E689" i="2"/>
  <c r="E753" i="2"/>
  <c r="E801" i="2"/>
  <c r="F538" i="2"/>
  <c r="F578" i="2"/>
  <c r="F714" i="2"/>
  <c r="E130" i="2"/>
  <c r="E250" i="2"/>
  <c r="E354" i="2"/>
  <c r="E522" i="2"/>
  <c r="E690" i="2"/>
  <c r="E754" i="2"/>
  <c r="F337" i="2"/>
  <c r="F603" i="2"/>
  <c r="F627" i="2"/>
  <c r="F683" i="2"/>
  <c r="F747" i="2"/>
  <c r="F763" i="2"/>
  <c r="E131" i="2"/>
  <c r="E251" i="2"/>
  <c r="E355" i="2"/>
  <c r="E523" i="2"/>
  <c r="E643" i="2"/>
  <c r="E691" i="2"/>
  <c r="E755" i="2"/>
  <c r="F548" i="2"/>
  <c r="F572" i="2"/>
  <c r="F612" i="2"/>
  <c r="F620" i="2"/>
  <c r="F708" i="2"/>
  <c r="E356" i="2"/>
  <c r="E444" i="2"/>
  <c r="E524" i="2"/>
  <c r="E588" i="2"/>
  <c r="E644" i="2"/>
  <c r="E724" i="2"/>
  <c r="E788" i="2"/>
  <c r="F313" i="2"/>
  <c r="F517" i="2"/>
  <c r="F557" i="2"/>
  <c r="F565" i="2"/>
  <c r="F701" i="2"/>
  <c r="E445" i="2"/>
  <c r="E525" i="2"/>
  <c r="E589" i="2"/>
  <c r="E645" i="2"/>
  <c r="E725" i="2"/>
  <c r="E773" i="2"/>
  <c r="E789" i="2"/>
  <c r="F638" i="2"/>
  <c r="F678" i="2"/>
  <c r="F742" i="2"/>
  <c r="E446" i="2"/>
  <c r="E590" i="2"/>
  <c r="E646" i="2"/>
  <c r="E726" i="2"/>
  <c r="E774" i="2"/>
  <c r="E790" i="2"/>
  <c r="E798" i="2"/>
  <c r="D808" i="2"/>
  <c r="G808" i="2" s="1"/>
  <c r="I808" i="2" s="1"/>
  <c r="D809" i="2"/>
  <c r="G809" i="2" s="1"/>
  <c r="I809" i="2" s="1"/>
  <c r="D810" i="2"/>
  <c r="G810" i="2" s="1"/>
  <c r="I810" i="2" s="1"/>
  <c r="D813" i="2"/>
  <c r="G813" i="2" s="1"/>
  <c r="I813" i="2" s="1"/>
  <c r="D811" i="2"/>
  <c r="G811" i="2" s="1"/>
  <c r="I811" i="2" s="1"/>
  <c r="D812" i="2"/>
  <c r="G812" i="2" s="1"/>
  <c r="I812" i="2" s="1"/>
  <c r="G727" i="2" l="1"/>
  <c r="I727" i="2" s="1"/>
  <c r="G708" i="2"/>
  <c r="I708" i="2" s="1"/>
  <c r="G791" i="2"/>
  <c r="I791" i="2" s="1"/>
  <c r="G359" i="2"/>
  <c r="I359" i="2" s="1"/>
  <c r="G295" i="2"/>
  <c r="I295" i="2" s="1"/>
  <c r="G270" i="2"/>
  <c r="I270" i="2" s="1"/>
  <c r="G348" i="2"/>
  <c r="I348" i="2" s="1"/>
  <c r="G323" i="2"/>
  <c r="I323" i="2" s="1"/>
  <c r="G306" i="2"/>
  <c r="I306" i="2" s="1"/>
  <c r="G353" i="2"/>
  <c r="I353" i="2" s="1"/>
  <c r="G328" i="2"/>
  <c r="I328" i="2" s="1"/>
  <c r="G591" i="2"/>
  <c r="I591" i="2" s="1"/>
  <c r="G590" i="2"/>
  <c r="I590" i="2" s="1"/>
  <c r="G597" i="2"/>
  <c r="I597" i="2" s="1"/>
  <c r="G533" i="2"/>
  <c r="I533" i="2" s="1"/>
  <c r="G546" i="2"/>
  <c r="I546" i="2" s="1"/>
  <c r="G695" i="2"/>
  <c r="I695" i="2" s="1"/>
  <c r="G678" i="2"/>
  <c r="I678" i="2" s="1"/>
  <c r="G661" i="2"/>
  <c r="I661" i="2" s="1"/>
  <c r="G683" i="2"/>
  <c r="I683" i="2" s="1"/>
  <c r="G658" i="2"/>
  <c r="I658" i="2" s="1"/>
  <c r="G688" i="2"/>
  <c r="I688" i="2" s="1"/>
  <c r="G817" i="2"/>
  <c r="I817" i="2" s="1"/>
  <c r="G647" i="2"/>
  <c r="I647" i="2" s="1"/>
  <c r="G638" i="2"/>
  <c r="I638" i="2" s="1"/>
  <c r="G629" i="2"/>
  <c r="I629" i="2" s="1"/>
  <c r="G620" i="2"/>
  <c r="I620" i="2" s="1"/>
  <c r="G611" i="2"/>
  <c r="I611" i="2" s="1"/>
  <c r="G602" i="2"/>
  <c r="I602" i="2" s="1"/>
  <c r="G648" i="2"/>
  <c r="I648" i="2" s="1"/>
  <c r="G806" i="2"/>
  <c r="I806" i="2" s="1"/>
  <c r="G805" i="2"/>
  <c r="I805" i="2" s="1"/>
  <c r="G126" i="2"/>
  <c r="I126" i="2" s="1"/>
  <c r="G124" i="2"/>
  <c r="I124" i="2" s="1"/>
  <c r="G2" i="2"/>
  <c r="G117" i="2"/>
  <c r="I117" i="2" s="1"/>
  <c r="G54" i="2"/>
  <c r="I54" i="2" s="1"/>
  <c r="G69" i="2"/>
  <c r="I69" i="2" s="1"/>
  <c r="G5" i="2"/>
  <c r="I5" i="2" s="1"/>
  <c r="G60" i="2"/>
  <c r="I60" i="2" s="1"/>
  <c r="G115" i="2"/>
  <c r="I115" i="2" s="1"/>
  <c r="G90" i="2"/>
  <c r="I90" i="2" s="1"/>
  <c r="G26" i="2"/>
  <c r="I26" i="2" s="1"/>
  <c r="G49" i="2"/>
  <c r="I49" i="2" s="1"/>
  <c r="G120" i="2"/>
  <c r="I120" i="2" s="1"/>
  <c r="G56" i="2"/>
  <c r="I56" i="2" s="1"/>
  <c r="G127" i="2"/>
  <c r="I127" i="2" s="1"/>
  <c r="G63" i="2"/>
  <c r="I63" i="2" s="1"/>
  <c r="G527" i="2"/>
  <c r="I527" i="2" s="1"/>
  <c r="G463" i="2"/>
  <c r="I463" i="2" s="1"/>
  <c r="G478" i="2"/>
  <c r="I478" i="2" s="1"/>
  <c r="G493" i="2"/>
  <c r="I493" i="2" s="1"/>
  <c r="G500" i="2"/>
  <c r="I500" i="2" s="1"/>
  <c r="G515" i="2"/>
  <c r="I515" i="2" s="1"/>
  <c r="G530" i="2"/>
  <c r="I530" i="2" s="1"/>
  <c r="G466" i="2"/>
  <c r="I466" i="2" s="1"/>
  <c r="G481" i="2"/>
  <c r="I481" i="2" s="1"/>
  <c r="G447" i="2"/>
  <c r="I447" i="2" s="1"/>
  <c r="G383" i="2"/>
  <c r="I383" i="2" s="1"/>
  <c r="G406" i="2"/>
  <c r="I406" i="2" s="1"/>
  <c r="G437" i="2"/>
  <c r="I437" i="2" s="1"/>
  <c r="G373" i="2"/>
  <c r="I373" i="2" s="1"/>
  <c r="G404" i="2"/>
  <c r="I404" i="2" s="1"/>
  <c r="G435" i="2"/>
  <c r="I435" i="2" s="1"/>
  <c r="G371" i="2"/>
  <c r="I371" i="2" s="1"/>
  <c r="G402" i="2"/>
  <c r="I402" i="2" s="1"/>
  <c r="G425" i="2"/>
  <c r="I425" i="2" s="1"/>
  <c r="G448" i="2"/>
  <c r="I448" i="2" s="1"/>
  <c r="G384" i="2"/>
  <c r="I384" i="2" s="1"/>
  <c r="G775" i="2"/>
  <c r="I775" i="2" s="1"/>
  <c r="G780" i="2"/>
  <c r="I780" i="2" s="1"/>
  <c r="G762" i="2"/>
  <c r="I762" i="2" s="1"/>
  <c r="G759" i="2"/>
  <c r="I759" i="2" s="1"/>
  <c r="G757" i="2"/>
  <c r="I757" i="2" s="1"/>
  <c r="G739" i="2"/>
  <c r="I739" i="2" s="1"/>
  <c r="G760" i="2"/>
  <c r="I760" i="2" s="1"/>
  <c r="G238" i="2"/>
  <c r="I238" i="2" s="1"/>
  <c r="G251" i="2"/>
  <c r="I251" i="2" s="1"/>
  <c r="G187" i="2"/>
  <c r="I187" i="2" s="1"/>
  <c r="G225" i="2"/>
  <c r="I225" i="2" s="1"/>
  <c r="G719" i="2"/>
  <c r="I719" i="2" s="1"/>
  <c r="G725" i="2"/>
  <c r="I725" i="2" s="1"/>
  <c r="G714" i="2"/>
  <c r="I714" i="2" s="1"/>
  <c r="G783" i="2"/>
  <c r="I783" i="2" s="1"/>
  <c r="G351" i="2"/>
  <c r="I351" i="2" s="1"/>
  <c r="G287" i="2"/>
  <c r="I287" i="2" s="1"/>
  <c r="G326" i="2"/>
  <c r="I326" i="2" s="1"/>
  <c r="G262" i="2"/>
  <c r="I262" i="2" s="1"/>
  <c r="G301" i="2"/>
  <c r="I301" i="2" s="1"/>
  <c r="G340" i="2"/>
  <c r="I340" i="2" s="1"/>
  <c r="G362" i="2"/>
  <c r="I362" i="2" s="1"/>
  <c r="G298" i="2"/>
  <c r="I298" i="2" s="1"/>
  <c r="G345" i="2"/>
  <c r="I345" i="2" s="1"/>
  <c r="G281" i="2"/>
  <c r="I281" i="2" s="1"/>
  <c r="G320" i="2"/>
  <c r="I320" i="2" s="1"/>
  <c r="G583" i="2"/>
  <c r="I583" i="2" s="1"/>
  <c r="G582" i="2"/>
  <c r="I582" i="2" s="1"/>
  <c r="G589" i="2"/>
  <c r="I589" i="2" s="1"/>
  <c r="G539" i="2"/>
  <c r="I539" i="2" s="1"/>
  <c r="G538" i="2"/>
  <c r="I538" i="2" s="1"/>
  <c r="G536" i="2"/>
  <c r="I536" i="2" s="1"/>
  <c r="G670" i="2"/>
  <c r="I670" i="2" s="1"/>
  <c r="G653" i="2"/>
  <c r="I653" i="2" s="1"/>
  <c r="G675" i="2"/>
  <c r="I675" i="2" s="1"/>
  <c r="G697" i="2"/>
  <c r="I697" i="2" s="1"/>
  <c r="G680" i="2"/>
  <c r="I680" i="2" s="1"/>
  <c r="G639" i="2"/>
  <c r="I639" i="2" s="1"/>
  <c r="G630" i="2"/>
  <c r="I630" i="2" s="1"/>
  <c r="G621" i="2"/>
  <c r="I621" i="2" s="1"/>
  <c r="G612" i="2"/>
  <c r="I612" i="2" s="1"/>
  <c r="G603" i="2"/>
  <c r="I603" i="2" s="1"/>
  <c r="G649" i="2"/>
  <c r="I649" i="2" s="1"/>
  <c r="G640" i="2"/>
  <c r="I640" i="2" s="1"/>
  <c r="G798" i="2"/>
  <c r="I798" i="2" s="1"/>
  <c r="G800" i="2"/>
  <c r="I800" i="2" s="1"/>
  <c r="G114" i="2"/>
  <c r="I114" i="2" s="1"/>
  <c r="G110" i="2"/>
  <c r="I110" i="2" s="1"/>
  <c r="G131" i="2"/>
  <c r="I131" i="2" s="1"/>
  <c r="G97" i="2"/>
  <c r="I97" i="2" s="1"/>
  <c r="G46" i="2"/>
  <c r="I46" i="2" s="1"/>
  <c r="G61" i="2"/>
  <c r="I61" i="2" s="1"/>
  <c r="G116" i="2"/>
  <c r="I116" i="2" s="1"/>
  <c r="G107" i="2"/>
  <c r="I107" i="2" s="1"/>
  <c r="G43" i="2"/>
  <c r="I43" i="2" s="1"/>
  <c r="G82" i="2"/>
  <c r="I82" i="2" s="1"/>
  <c r="G18" i="2"/>
  <c r="I18" i="2" s="1"/>
  <c r="G41" i="2"/>
  <c r="I41" i="2" s="1"/>
  <c r="G112" i="2"/>
  <c r="I112" i="2" s="1"/>
  <c r="G48" i="2"/>
  <c r="I48" i="2" s="1"/>
  <c r="G119" i="2"/>
  <c r="I119" i="2" s="1"/>
  <c r="G55" i="2"/>
  <c r="I55" i="2" s="1"/>
  <c r="G519" i="2"/>
  <c r="I519" i="2" s="1"/>
  <c r="G455" i="2"/>
  <c r="I455" i="2" s="1"/>
  <c r="G470" i="2"/>
  <c r="I470" i="2" s="1"/>
  <c r="G485" i="2"/>
  <c r="I485" i="2" s="1"/>
  <c r="G492" i="2"/>
  <c r="I492" i="2" s="1"/>
  <c r="G507" i="2"/>
  <c r="I507" i="2" s="1"/>
  <c r="G522" i="2"/>
  <c r="I522" i="2" s="1"/>
  <c r="G458" i="2"/>
  <c r="I458" i="2" s="1"/>
  <c r="G473" i="2"/>
  <c r="I473" i="2" s="1"/>
  <c r="G488" i="2"/>
  <c r="I488" i="2" s="1"/>
  <c r="G439" i="2"/>
  <c r="I439" i="2" s="1"/>
  <c r="G375" i="2"/>
  <c r="I375" i="2" s="1"/>
  <c r="G398" i="2"/>
  <c r="I398" i="2" s="1"/>
  <c r="G429" i="2"/>
  <c r="I429" i="2" s="1"/>
  <c r="G365" i="2"/>
  <c r="I365" i="2" s="1"/>
  <c r="G396" i="2"/>
  <c r="I396" i="2" s="1"/>
  <c r="G427" i="2"/>
  <c r="I427" i="2" s="1"/>
  <c r="G363" i="2"/>
  <c r="I363" i="2" s="1"/>
  <c r="G394" i="2"/>
  <c r="I394" i="2" s="1"/>
  <c r="G417" i="2"/>
  <c r="I417" i="2" s="1"/>
  <c r="G440" i="2"/>
  <c r="I440" i="2" s="1"/>
  <c r="G376" i="2"/>
  <c r="I376" i="2" s="1"/>
  <c r="G767" i="2"/>
  <c r="I767" i="2" s="1"/>
  <c r="G772" i="2"/>
  <c r="I772" i="2" s="1"/>
  <c r="G777" i="2"/>
  <c r="I777" i="2" s="1"/>
  <c r="G751" i="2"/>
  <c r="I751" i="2" s="1"/>
  <c r="G749" i="2"/>
  <c r="I749" i="2" s="1"/>
  <c r="G754" i="2"/>
  <c r="I754" i="2" s="1"/>
  <c r="G752" i="2"/>
  <c r="I752" i="2" s="1"/>
  <c r="G243" i="2"/>
  <c r="I243" i="2" s="1"/>
  <c r="G162" i="2"/>
  <c r="I162" i="2" s="1"/>
  <c r="G217" i="2"/>
  <c r="I217" i="2" s="1"/>
  <c r="G208" i="2"/>
  <c r="I208" i="2" s="1"/>
  <c r="G790" i="2"/>
  <c r="I790" i="2" s="1"/>
  <c r="G343" i="2"/>
  <c r="I343" i="2" s="1"/>
  <c r="G318" i="2"/>
  <c r="I318" i="2" s="1"/>
  <c r="G357" i="2"/>
  <c r="I357" i="2" s="1"/>
  <c r="G293" i="2"/>
  <c r="I293" i="2" s="1"/>
  <c r="G268" i="2"/>
  <c r="I268" i="2" s="1"/>
  <c r="G354" i="2"/>
  <c r="I354" i="2" s="1"/>
  <c r="G290" i="2"/>
  <c r="I290" i="2" s="1"/>
  <c r="G337" i="2"/>
  <c r="I337" i="2" s="1"/>
  <c r="G575" i="2"/>
  <c r="I575" i="2" s="1"/>
  <c r="G581" i="2"/>
  <c r="I581" i="2" s="1"/>
  <c r="G588" i="2"/>
  <c r="I588" i="2" s="1"/>
  <c r="G595" i="2"/>
  <c r="I595" i="2" s="1"/>
  <c r="G594" i="2"/>
  <c r="I594" i="2" s="1"/>
  <c r="G593" i="2"/>
  <c r="I593" i="2" s="1"/>
  <c r="G592" i="2"/>
  <c r="I592" i="2" s="1"/>
  <c r="G679" i="2"/>
  <c r="I679" i="2" s="1"/>
  <c r="G692" i="2"/>
  <c r="I692" i="2" s="1"/>
  <c r="G689" i="2"/>
  <c r="I689" i="2" s="1"/>
  <c r="G672" i="2"/>
  <c r="I672" i="2" s="1"/>
  <c r="G622" i="2"/>
  <c r="I622" i="2" s="1"/>
  <c r="G613" i="2"/>
  <c r="I613" i="2" s="1"/>
  <c r="G604" i="2"/>
  <c r="I604" i="2" s="1"/>
  <c r="G650" i="2"/>
  <c r="I650" i="2" s="1"/>
  <c r="G641" i="2"/>
  <c r="I641" i="2" s="1"/>
  <c r="G632" i="2"/>
  <c r="I632" i="2" s="1"/>
  <c r="G799" i="2"/>
  <c r="I799" i="2" s="1"/>
  <c r="G93" i="2"/>
  <c r="I93" i="2" s="1"/>
  <c r="G133" i="2"/>
  <c r="I133" i="2" s="1"/>
  <c r="G121" i="2"/>
  <c r="I121" i="2" s="1"/>
  <c r="G53" i="2"/>
  <c r="I53" i="2" s="1"/>
  <c r="G108" i="2"/>
  <c r="I108" i="2" s="1"/>
  <c r="G44" i="2"/>
  <c r="I44" i="2" s="1"/>
  <c r="G99" i="2"/>
  <c r="I99" i="2" s="1"/>
  <c r="G35" i="2"/>
  <c r="I35" i="2" s="1"/>
  <c r="G74" i="2"/>
  <c r="I74" i="2" s="1"/>
  <c r="G10" i="2"/>
  <c r="I10" i="2" s="1"/>
  <c r="G104" i="2"/>
  <c r="I104" i="2" s="1"/>
  <c r="G40" i="2"/>
  <c r="I40" i="2" s="1"/>
  <c r="G111" i="2"/>
  <c r="I111" i="2" s="1"/>
  <c r="G47" i="2"/>
  <c r="I47" i="2" s="1"/>
  <c r="G511" i="2"/>
  <c r="I511" i="2" s="1"/>
  <c r="G526" i="2"/>
  <c r="I526" i="2" s="1"/>
  <c r="G462" i="2"/>
  <c r="I462" i="2" s="1"/>
  <c r="G477" i="2"/>
  <c r="I477" i="2" s="1"/>
  <c r="G484" i="2"/>
  <c r="I484" i="2" s="1"/>
  <c r="G499" i="2"/>
  <c r="I499" i="2" s="1"/>
  <c r="G514" i="2"/>
  <c r="I514" i="2" s="1"/>
  <c r="G529" i="2"/>
  <c r="I529" i="2" s="1"/>
  <c r="G465" i="2"/>
  <c r="I465" i="2" s="1"/>
  <c r="G480" i="2"/>
  <c r="I480" i="2" s="1"/>
  <c r="G431" i="2"/>
  <c r="I431" i="2" s="1"/>
  <c r="G390" i="2"/>
  <c r="I390" i="2" s="1"/>
  <c r="G421" i="2"/>
  <c r="I421" i="2" s="1"/>
  <c r="G452" i="2"/>
  <c r="I452" i="2" s="1"/>
  <c r="G388" i="2"/>
  <c r="I388" i="2" s="1"/>
  <c r="G419" i="2"/>
  <c r="I419" i="2" s="1"/>
  <c r="G450" i="2"/>
  <c r="I450" i="2" s="1"/>
  <c r="G386" i="2"/>
  <c r="I386" i="2" s="1"/>
  <c r="G409" i="2"/>
  <c r="I409" i="2" s="1"/>
  <c r="G432" i="2"/>
  <c r="I432" i="2" s="1"/>
  <c r="G368" i="2"/>
  <c r="I368" i="2" s="1"/>
  <c r="G782" i="2"/>
  <c r="I782" i="2" s="1"/>
  <c r="G764" i="2"/>
  <c r="I764" i="2" s="1"/>
  <c r="G769" i="2"/>
  <c r="I769" i="2" s="1"/>
  <c r="G743" i="2"/>
  <c r="I743" i="2" s="1"/>
  <c r="G741" i="2"/>
  <c r="I741" i="2" s="1"/>
  <c r="G746" i="2"/>
  <c r="I746" i="2" s="1"/>
  <c r="G744" i="2"/>
  <c r="I744" i="2" s="1"/>
  <c r="G335" i="2"/>
  <c r="I335" i="2" s="1"/>
  <c r="G349" i="2"/>
  <c r="I349" i="2" s="1"/>
  <c r="G324" i="2"/>
  <c r="I324" i="2" s="1"/>
  <c r="G346" i="2"/>
  <c r="I346" i="2" s="1"/>
  <c r="G265" i="2"/>
  <c r="I265" i="2" s="1"/>
  <c r="G304" i="2"/>
  <c r="I304" i="2" s="1"/>
  <c r="G566" i="2"/>
  <c r="I566" i="2" s="1"/>
  <c r="G573" i="2"/>
  <c r="I573" i="2" s="1"/>
  <c r="G580" i="2"/>
  <c r="I580" i="2" s="1"/>
  <c r="G586" i="2"/>
  <c r="I586" i="2" s="1"/>
  <c r="G584" i="2"/>
  <c r="I584" i="2" s="1"/>
  <c r="G654" i="2"/>
  <c r="I654" i="2" s="1"/>
  <c r="G684" i="2"/>
  <c r="I684" i="2" s="1"/>
  <c r="G659" i="2"/>
  <c r="I659" i="2" s="1"/>
  <c r="G681" i="2"/>
  <c r="I681" i="2" s="1"/>
  <c r="G623" i="2"/>
  <c r="I623" i="2" s="1"/>
  <c r="G614" i="2"/>
  <c r="I614" i="2" s="1"/>
  <c r="G605" i="2"/>
  <c r="I605" i="2" s="1"/>
  <c r="G651" i="2"/>
  <c r="I651" i="2" s="1"/>
  <c r="G633" i="2"/>
  <c r="I633" i="2" s="1"/>
  <c r="G807" i="2"/>
  <c r="I807" i="2" s="1"/>
  <c r="G137" i="2"/>
  <c r="I137" i="2" s="1"/>
  <c r="G123" i="2"/>
  <c r="I123" i="2" s="1"/>
  <c r="G105" i="2"/>
  <c r="I105" i="2" s="1"/>
  <c r="G94" i="2"/>
  <c r="I94" i="2" s="1"/>
  <c r="G30" i="2"/>
  <c r="I30" i="2" s="1"/>
  <c r="G45" i="2"/>
  <c r="I45" i="2" s="1"/>
  <c r="G100" i="2"/>
  <c r="I100" i="2" s="1"/>
  <c r="G36" i="2"/>
  <c r="I36" i="2" s="1"/>
  <c r="G91" i="2"/>
  <c r="I91" i="2" s="1"/>
  <c r="G27" i="2"/>
  <c r="I27" i="2" s="1"/>
  <c r="G66" i="2"/>
  <c r="I66" i="2" s="1"/>
  <c r="G89" i="2"/>
  <c r="I89" i="2" s="1"/>
  <c r="G25" i="2"/>
  <c r="I25" i="2" s="1"/>
  <c r="G96" i="2"/>
  <c r="I96" i="2" s="1"/>
  <c r="G32" i="2"/>
  <c r="I32" i="2" s="1"/>
  <c r="G103" i="2"/>
  <c r="I103" i="2" s="1"/>
  <c r="G503" i="2"/>
  <c r="I503" i="2" s="1"/>
  <c r="G518" i="2"/>
  <c r="I518" i="2" s="1"/>
  <c r="G454" i="2"/>
  <c r="I454" i="2" s="1"/>
  <c r="G469" i="2"/>
  <c r="I469" i="2" s="1"/>
  <c r="G476" i="2"/>
  <c r="I476" i="2" s="1"/>
  <c r="G491" i="2"/>
  <c r="I491" i="2" s="1"/>
  <c r="G506" i="2"/>
  <c r="I506" i="2" s="1"/>
  <c r="G521" i="2"/>
  <c r="I521" i="2" s="1"/>
  <c r="G457" i="2"/>
  <c r="I457" i="2" s="1"/>
  <c r="G472" i="2"/>
  <c r="I472" i="2" s="1"/>
  <c r="G423" i="2"/>
  <c r="I423" i="2" s="1"/>
  <c r="G446" i="2"/>
  <c r="I446" i="2" s="1"/>
  <c r="G382" i="2"/>
  <c r="I382" i="2" s="1"/>
  <c r="G413" i="2"/>
  <c r="I413" i="2" s="1"/>
  <c r="G444" i="2"/>
  <c r="I444" i="2" s="1"/>
  <c r="G380" i="2"/>
  <c r="I380" i="2" s="1"/>
  <c r="G411" i="2"/>
  <c r="I411" i="2" s="1"/>
  <c r="G442" i="2"/>
  <c r="I442" i="2" s="1"/>
  <c r="G378" i="2"/>
  <c r="I378" i="2" s="1"/>
  <c r="G401" i="2"/>
  <c r="I401" i="2" s="1"/>
  <c r="G424" i="2"/>
  <c r="I424" i="2" s="1"/>
  <c r="G774" i="2"/>
  <c r="I774" i="2" s="1"/>
  <c r="G779" i="2"/>
  <c r="I779" i="2" s="1"/>
  <c r="G776" i="2"/>
  <c r="I776" i="2" s="1"/>
  <c r="G735" i="2"/>
  <c r="I735" i="2" s="1"/>
  <c r="G756" i="2"/>
  <c r="I756" i="2" s="1"/>
  <c r="G738" i="2"/>
  <c r="I738" i="2" s="1"/>
  <c r="G736" i="2"/>
  <c r="I736" i="2" s="1"/>
  <c r="G726" i="2"/>
  <c r="I726" i="2" s="1"/>
  <c r="G701" i="2"/>
  <c r="I701" i="2" s="1"/>
  <c r="G789" i="2"/>
  <c r="I789" i="2" s="1"/>
  <c r="G316" i="2"/>
  <c r="I316" i="2" s="1"/>
  <c r="G355" i="2"/>
  <c r="I355" i="2" s="1"/>
  <c r="G338" i="2"/>
  <c r="I338" i="2" s="1"/>
  <c r="G321" i="2"/>
  <c r="I321" i="2" s="1"/>
  <c r="G360" i="2"/>
  <c r="I360" i="2" s="1"/>
  <c r="G559" i="2"/>
  <c r="I559" i="2" s="1"/>
  <c r="G558" i="2"/>
  <c r="I558" i="2" s="1"/>
  <c r="G565" i="2"/>
  <c r="I565" i="2" s="1"/>
  <c r="G572" i="2"/>
  <c r="I572" i="2" s="1"/>
  <c r="G579" i="2"/>
  <c r="I579" i="2" s="1"/>
  <c r="G578" i="2"/>
  <c r="I578" i="2" s="1"/>
  <c r="G577" i="2"/>
  <c r="I577" i="2" s="1"/>
  <c r="G663" i="2"/>
  <c r="I663" i="2" s="1"/>
  <c r="G693" i="2"/>
  <c r="I693" i="2" s="1"/>
  <c r="G690" i="2"/>
  <c r="I690" i="2" s="1"/>
  <c r="G673" i="2"/>
  <c r="I673" i="2" s="1"/>
  <c r="G656" i="2"/>
  <c r="I656" i="2" s="1"/>
  <c r="G615" i="2"/>
  <c r="I615" i="2" s="1"/>
  <c r="G606" i="2"/>
  <c r="I606" i="2" s="1"/>
  <c r="G652" i="2"/>
  <c r="I652" i="2" s="1"/>
  <c r="G643" i="2"/>
  <c r="I643" i="2" s="1"/>
  <c r="G634" i="2"/>
  <c r="I634" i="2" s="1"/>
  <c r="G625" i="2"/>
  <c r="I625" i="2" s="1"/>
  <c r="G616" i="2"/>
  <c r="I616" i="2" s="1"/>
  <c r="G804" i="2"/>
  <c r="I804" i="2" s="1"/>
  <c r="G125" i="2"/>
  <c r="I125" i="2" s="1"/>
  <c r="G109" i="2"/>
  <c r="I109" i="2" s="1"/>
  <c r="G130" i="2"/>
  <c r="I130" i="2" s="1"/>
  <c r="G86" i="2"/>
  <c r="I86" i="2" s="1"/>
  <c r="G22" i="2"/>
  <c r="I22" i="2" s="1"/>
  <c r="G37" i="2"/>
  <c r="I37" i="2" s="1"/>
  <c r="G92" i="2"/>
  <c r="I92" i="2" s="1"/>
  <c r="G28" i="2"/>
  <c r="I28" i="2" s="1"/>
  <c r="G83" i="2"/>
  <c r="I83" i="2" s="1"/>
  <c r="G19" i="2"/>
  <c r="I19" i="2" s="1"/>
  <c r="G58" i="2"/>
  <c r="I58" i="2" s="1"/>
  <c r="G81" i="2"/>
  <c r="I81" i="2" s="1"/>
  <c r="G17" i="2"/>
  <c r="I17" i="2" s="1"/>
  <c r="G88" i="2"/>
  <c r="I88" i="2" s="1"/>
  <c r="G24" i="2"/>
  <c r="I24" i="2" s="1"/>
  <c r="G95" i="2"/>
  <c r="I95" i="2" s="1"/>
  <c r="G31" i="2"/>
  <c r="I31" i="2" s="1"/>
  <c r="G495" i="2"/>
  <c r="I495" i="2" s="1"/>
  <c r="G510" i="2"/>
  <c r="I510" i="2" s="1"/>
  <c r="G525" i="2"/>
  <c r="I525" i="2" s="1"/>
  <c r="G461" i="2"/>
  <c r="I461" i="2" s="1"/>
  <c r="G468" i="2"/>
  <c r="I468" i="2" s="1"/>
  <c r="G483" i="2"/>
  <c r="I483" i="2" s="1"/>
  <c r="G498" i="2"/>
  <c r="I498" i="2" s="1"/>
  <c r="G513" i="2"/>
  <c r="I513" i="2" s="1"/>
  <c r="G528" i="2"/>
  <c r="I528" i="2" s="1"/>
  <c r="G464" i="2"/>
  <c r="I464" i="2" s="1"/>
  <c r="G415" i="2"/>
  <c r="I415" i="2" s="1"/>
  <c r="G438" i="2"/>
  <c r="I438" i="2" s="1"/>
  <c r="G374" i="2"/>
  <c r="I374" i="2" s="1"/>
  <c r="G405" i="2"/>
  <c r="I405" i="2" s="1"/>
  <c r="G436" i="2"/>
  <c r="I436" i="2" s="1"/>
  <c r="G372" i="2"/>
  <c r="I372" i="2" s="1"/>
  <c r="G403" i="2"/>
  <c r="I403" i="2" s="1"/>
  <c r="G434" i="2"/>
  <c r="I434" i="2" s="1"/>
  <c r="G370" i="2"/>
  <c r="I370" i="2" s="1"/>
  <c r="G393" i="2"/>
  <c r="I393" i="2" s="1"/>
  <c r="G416" i="2"/>
  <c r="I416" i="2" s="1"/>
  <c r="G766" i="2"/>
  <c r="I766" i="2" s="1"/>
  <c r="G771" i="2"/>
  <c r="I771" i="2" s="1"/>
  <c r="G768" i="2"/>
  <c r="I768" i="2" s="1"/>
  <c r="G758" i="2"/>
  <c r="I758" i="2" s="1"/>
  <c r="G748" i="2"/>
  <c r="I748" i="2" s="1"/>
  <c r="G761" i="2"/>
  <c r="I761" i="2" s="1"/>
  <c r="G248" i="2"/>
  <c r="I248" i="2" s="1"/>
  <c r="G319" i="2"/>
  <c r="I319" i="2" s="1"/>
  <c r="G358" i="2"/>
  <c r="I358" i="2" s="1"/>
  <c r="G308" i="2"/>
  <c r="I308" i="2" s="1"/>
  <c r="G347" i="2"/>
  <c r="I347" i="2" s="1"/>
  <c r="G283" i="2"/>
  <c r="I283" i="2" s="1"/>
  <c r="G330" i="2"/>
  <c r="I330" i="2" s="1"/>
  <c r="G313" i="2"/>
  <c r="I313" i="2" s="1"/>
  <c r="G551" i="2"/>
  <c r="I551" i="2" s="1"/>
  <c r="G557" i="2"/>
  <c r="I557" i="2" s="1"/>
  <c r="G570" i="2"/>
  <c r="I570" i="2" s="1"/>
  <c r="G568" i="2"/>
  <c r="I568" i="2" s="1"/>
  <c r="G655" i="2"/>
  <c r="I655" i="2" s="1"/>
  <c r="G668" i="2"/>
  <c r="I668" i="2" s="1"/>
  <c r="G682" i="2"/>
  <c r="I682" i="2" s="1"/>
  <c r="G665" i="2"/>
  <c r="I665" i="2" s="1"/>
  <c r="G607" i="2"/>
  <c r="I607" i="2" s="1"/>
  <c r="G598" i="2"/>
  <c r="I598" i="2" s="1"/>
  <c r="G644" i="2"/>
  <c r="I644" i="2" s="1"/>
  <c r="G635" i="2"/>
  <c r="I635" i="2" s="1"/>
  <c r="G608" i="2"/>
  <c r="I608" i="2" s="1"/>
  <c r="G803" i="2"/>
  <c r="I803" i="2" s="1"/>
  <c r="G113" i="2"/>
  <c r="I113" i="2" s="1"/>
  <c r="G132" i="2"/>
  <c r="I132" i="2" s="1"/>
  <c r="G118" i="2"/>
  <c r="I118" i="2" s="1"/>
  <c r="G78" i="2"/>
  <c r="I78" i="2" s="1"/>
  <c r="G14" i="2"/>
  <c r="I14" i="2" s="1"/>
  <c r="G29" i="2"/>
  <c r="I29" i="2" s="1"/>
  <c r="G84" i="2"/>
  <c r="I84" i="2" s="1"/>
  <c r="G20" i="2"/>
  <c r="I20" i="2" s="1"/>
  <c r="G75" i="2"/>
  <c r="I75" i="2" s="1"/>
  <c r="G11" i="2"/>
  <c r="I11" i="2" s="1"/>
  <c r="G50" i="2"/>
  <c r="I50" i="2" s="1"/>
  <c r="G73" i="2"/>
  <c r="I73" i="2" s="1"/>
  <c r="G9" i="2"/>
  <c r="I9" i="2" s="1"/>
  <c r="G80" i="2"/>
  <c r="I80" i="2" s="1"/>
  <c r="G16" i="2"/>
  <c r="I16" i="2" s="1"/>
  <c r="G87" i="2"/>
  <c r="I87" i="2" s="1"/>
  <c r="G23" i="2"/>
  <c r="I23" i="2" s="1"/>
  <c r="G487" i="2"/>
  <c r="I487" i="2" s="1"/>
  <c r="G502" i="2"/>
  <c r="I502" i="2" s="1"/>
  <c r="G517" i="2"/>
  <c r="I517" i="2" s="1"/>
  <c r="G524" i="2"/>
  <c r="I524" i="2" s="1"/>
  <c r="G460" i="2"/>
  <c r="I460" i="2" s="1"/>
  <c r="G475" i="2"/>
  <c r="I475" i="2" s="1"/>
  <c r="G490" i="2"/>
  <c r="I490" i="2" s="1"/>
  <c r="G505" i="2"/>
  <c r="I505" i="2" s="1"/>
  <c r="G520" i="2"/>
  <c r="I520" i="2" s="1"/>
  <c r="G456" i="2"/>
  <c r="I456" i="2" s="1"/>
  <c r="G407" i="2"/>
  <c r="I407" i="2" s="1"/>
  <c r="G430" i="2"/>
  <c r="I430" i="2" s="1"/>
  <c r="G366" i="2"/>
  <c r="I366" i="2" s="1"/>
  <c r="G397" i="2"/>
  <c r="I397" i="2" s="1"/>
  <c r="G428" i="2"/>
  <c r="I428" i="2" s="1"/>
  <c r="G364" i="2"/>
  <c r="I364" i="2" s="1"/>
  <c r="G395" i="2"/>
  <c r="I395" i="2" s="1"/>
  <c r="G426" i="2"/>
  <c r="I426" i="2" s="1"/>
  <c r="G449" i="2"/>
  <c r="I449" i="2" s="1"/>
  <c r="G385" i="2"/>
  <c r="I385" i="2" s="1"/>
  <c r="G408" i="2"/>
  <c r="I408" i="2" s="1"/>
  <c r="G781" i="2"/>
  <c r="I781" i="2" s="1"/>
  <c r="G763" i="2"/>
  <c r="I763" i="2" s="1"/>
  <c r="G750" i="2"/>
  <c r="I750" i="2" s="1"/>
  <c r="G740" i="2"/>
  <c r="I740" i="2" s="1"/>
  <c r="G753" i="2"/>
  <c r="I753" i="2" s="1"/>
  <c r="G198" i="2"/>
  <c r="I198" i="2" s="1"/>
  <c r="G249" i="2"/>
  <c r="I249" i="2" s="1"/>
  <c r="G724" i="2"/>
  <c r="I724" i="2" s="1"/>
  <c r="G788" i="2"/>
  <c r="I788" i="2" s="1"/>
  <c r="G311" i="2"/>
  <c r="I311" i="2" s="1"/>
  <c r="G325" i="2"/>
  <c r="I325" i="2" s="1"/>
  <c r="G275" i="2"/>
  <c r="I275" i="2" s="1"/>
  <c r="G322" i="2"/>
  <c r="I322" i="2" s="1"/>
  <c r="G344" i="2"/>
  <c r="I344" i="2" s="1"/>
  <c r="G280" i="2"/>
  <c r="I280" i="2" s="1"/>
  <c r="G543" i="2"/>
  <c r="I543" i="2" s="1"/>
  <c r="G549" i="2"/>
  <c r="I549" i="2" s="1"/>
  <c r="G556" i="2"/>
  <c r="I556" i="2" s="1"/>
  <c r="G563" i="2"/>
  <c r="I563" i="2" s="1"/>
  <c r="G561" i="2"/>
  <c r="I561" i="2" s="1"/>
  <c r="G560" i="2"/>
  <c r="I560" i="2" s="1"/>
  <c r="G694" i="2"/>
  <c r="I694" i="2" s="1"/>
  <c r="G677" i="2"/>
  <c r="I677" i="2" s="1"/>
  <c r="G660" i="2"/>
  <c r="I660" i="2" s="1"/>
  <c r="G657" i="2"/>
  <c r="I657" i="2" s="1"/>
  <c r="G599" i="2"/>
  <c r="I599" i="2" s="1"/>
  <c r="G645" i="2"/>
  <c r="I645" i="2" s="1"/>
  <c r="G636" i="2"/>
  <c r="I636" i="2" s="1"/>
  <c r="G627" i="2"/>
  <c r="I627" i="2" s="1"/>
  <c r="G618" i="2"/>
  <c r="I618" i="2" s="1"/>
  <c r="G609" i="2"/>
  <c r="I609" i="2" s="1"/>
  <c r="G600" i="2"/>
  <c r="I600" i="2" s="1"/>
  <c r="G802" i="2"/>
  <c r="I802" i="2" s="1"/>
  <c r="G85" i="2"/>
  <c r="I85" i="2" s="1"/>
  <c r="G122" i="2"/>
  <c r="I122" i="2" s="1"/>
  <c r="G101" i="2"/>
  <c r="I101" i="2" s="1"/>
  <c r="G70" i="2"/>
  <c r="I70" i="2" s="1"/>
  <c r="G6" i="2"/>
  <c r="I6" i="2" s="1"/>
  <c r="G21" i="2"/>
  <c r="I21" i="2" s="1"/>
  <c r="G76" i="2"/>
  <c r="I76" i="2" s="1"/>
  <c r="G12" i="2"/>
  <c r="I12" i="2" s="1"/>
  <c r="G67" i="2"/>
  <c r="I67" i="2" s="1"/>
  <c r="G3" i="2"/>
  <c r="I3" i="2" s="1"/>
  <c r="G42" i="2"/>
  <c r="I42" i="2" s="1"/>
  <c r="G65" i="2"/>
  <c r="I65" i="2" s="1"/>
  <c r="G136" i="2"/>
  <c r="I136" i="2" s="1"/>
  <c r="G72" i="2"/>
  <c r="I72" i="2" s="1"/>
  <c r="G8" i="2"/>
  <c r="I8" i="2" s="1"/>
  <c r="G79" i="2"/>
  <c r="I79" i="2" s="1"/>
  <c r="G15" i="2"/>
  <c r="I15" i="2" s="1"/>
  <c r="G479" i="2"/>
  <c r="I479" i="2" s="1"/>
  <c r="G494" i="2"/>
  <c r="I494" i="2" s="1"/>
  <c r="G509" i="2"/>
  <c r="I509" i="2" s="1"/>
  <c r="G516" i="2"/>
  <c r="I516" i="2" s="1"/>
  <c r="G531" i="2"/>
  <c r="I531" i="2" s="1"/>
  <c r="G467" i="2"/>
  <c r="I467" i="2" s="1"/>
  <c r="G482" i="2"/>
  <c r="I482" i="2" s="1"/>
  <c r="G497" i="2"/>
  <c r="I497" i="2" s="1"/>
  <c r="G512" i="2"/>
  <c r="I512" i="2" s="1"/>
  <c r="G399" i="2"/>
  <c r="I399" i="2" s="1"/>
  <c r="G422" i="2"/>
  <c r="I422" i="2" s="1"/>
  <c r="G453" i="2"/>
  <c r="I453" i="2" s="1"/>
  <c r="G389" i="2"/>
  <c r="I389" i="2" s="1"/>
  <c r="G420" i="2"/>
  <c r="I420" i="2" s="1"/>
  <c r="G451" i="2"/>
  <c r="I451" i="2" s="1"/>
  <c r="G387" i="2"/>
  <c r="I387" i="2" s="1"/>
  <c r="G441" i="2"/>
  <c r="I441" i="2" s="1"/>
  <c r="G377" i="2"/>
  <c r="I377" i="2" s="1"/>
  <c r="G400" i="2"/>
  <c r="I400" i="2" s="1"/>
  <c r="G773" i="2"/>
  <c r="I773" i="2" s="1"/>
  <c r="G778" i="2"/>
  <c r="I778" i="2" s="1"/>
  <c r="G742" i="2"/>
  <c r="I742" i="2" s="1"/>
  <c r="G755" i="2"/>
  <c r="I755" i="2" s="1"/>
  <c r="G745" i="2"/>
  <c r="I745" i="2" s="1"/>
  <c r="G250" i="2"/>
  <c r="I250" i="2" s="1"/>
  <c r="G232" i="2"/>
  <c r="I232" i="2" s="1"/>
  <c r="G303" i="2"/>
  <c r="I303" i="2" s="1"/>
  <c r="G342" i="2"/>
  <c r="I342" i="2" s="1"/>
  <c r="G278" i="2"/>
  <c r="I278" i="2" s="1"/>
  <c r="G356" i="2"/>
  <c r="I356" i="2" s="1"/>
  <c r="G292" i="2"/>
  <c r="I292" i="2" s="1"/>
  <c r="G331" i="2"/>
  <c r="I331" i="2" s="1"/>
  <c r="G267" i="2"/>
  <c r="I267" i="2" s="1"/>
  <c r="G314" i="2"/>
  <c r="I314" i="2" s="1"/>
  <c r="G541" i="2"/>
  <c r="I541" i="2" s="1"/>
  <c r="G548" i="2"/>
  <c r="I548" i="2" s="1"/>
  <c r="G555" i="2"/>
  <c r="I555" i="2" s="1"/>
  <c r="G554" i="2"/>
  <c r="I554" i="2" s="1"/>
  <c r="G553" i="2"/>
  <c r="I553" i="2" s="1"/>
  <c r="G686" i="2"/>
  <c r="I686" i="2" s="1"/>
  <c r="G691" i="2"/>
  <c r="I691" i="2" s="1"/>
  <c r="G666" i="2"/>
  <c r="I666" i="2" s="1"/>
  <c r="G646" i="2"/>
  <c r="I646" i="2" s="1"/>
  <c r="G637" i="2"/>
  <c r="I637" i="2" s="1"/>
  <c r="G628" i="2"/>
  <c r="I628" i="2" s="1"/>
  <c r="G610" i="2"/>
  <c r="I610" i="2" s="1"/>
  <c r="G601" i="2"/>
  <c r="I601" i="2" s="1"/>
  <c r="G801" i="2"/>
  <c r="I801" i="2" s="1"/>
  <c r="G134" i="2"/>
  <c r="I134" i="2" s="1"/>
  <c r="G106" i="2"/>
  <c r="I106" i="2" s="1"/>
  <c r="G129" i="2"/>
  <c r="I129" i="2" s="1"/>
  <c r="G62" i="2"/>
  <c r="I62" i="2" s="1"/>
  <c r="G77" i="2"/>
  <c r="I77" i="2" s="1"/>
  <c r="G13" i="2"/>
  <c r="I13" i="2" s="1"/>
  <c r="G68" i="2"/>
  <c r="I68" i="2" s="1"/>
  <c r="G4" i="2"/>
  <c r="I4" i="2" s="1"/>
  <c r="G59" i="2"/>
  <c r="I59" i="2" s="1"/>
  <c r="G98" i="2"/>
  <c r="I98" i="2" s="1"/>
  <c r="G34" i="2"/>
  <c r="I34" i="2" s="1"/>
  <c r="G57" i="2"/>
  <c r="I57" i="2" s="1"/>
  <c r="G128" i="2"/>
  <c r="I128" i="2" s="1"/>
  <c r="G64" i="2"/>
  <c r="I64" i="2" s="1"/>
  <c r="G135" i="2"/>
  <c r="I135" i="2" s="1"/>
  <c r="G71" i="2"/>
  <c r="I71" i="2" s="1"/>
  <c r="G7" i="2"/>
  <c r="I7" i="2" s="1"/>
  <c r="G471" i="2"/>
  <c r="I471" i="2" s="1"/>
  <c r="G486" i="2"/>
  <c r="I486" i="2" s="1"/>
  <c r="G501" i="2"/>
  <c r="I501" i="2" s="1"/>
  <c r="G508" i="2"/>
  <c r="I508" i="2" s="1"/>
  <c r="G523" i="2"/>
  <c r="I523" i="2" s="1"/>
  <c r="G459" i="2"/>
  <c r="I459" i="2" s="1"/>
  <c r="G474" i="2"/>
  <c r="I474" i="2" s="1"/>
  <c r="G489" i="2"/>
  <c r="I489" i="2" s="1"/>
  <c r="G504" i="2"/>
  <c r="I504" i="2" s="1"/>
  <c r="G391" i="2"/>
  <c r="I391" i="2" s="1"/>
  <c r="G414" i="2"/>
  <c r="I414" i="2" s="1"/>
  <c r="G445" i="2"/>
  <c r="I445" i="2" s="1"/>
  <c r="G381" i="2"/>
  <c r="I381" i="2" s="1"/>
  <c r="G412" i="2"/>
  <c r="I412" i="2" s="1"/>
  <c r="G443" i="2"/>
  <c r="I443" i="2" s="1"/>
  <c r="G379" i="2"/>
  <c r="I379" i="2" s="1"/>
  <c r="G410" i="2"/>
  <c r="I410" i="2" s="1"/>
  <c r="G433" i="2"/>
  <c r="I433" i="2" s="1"/>
  <c r="G369" i="2"/>
  <c r="I369" i="2" s="1"/>
  <c r="G392" i="2"/>
  <c r="I392" i="2" s="1"/>
  <c r="G765" i="2"/>
  <c r="I765" i="2" s="1"/>
  <c r="G770" i="2"/>
  <c r="I770" i="2" s="1"/>
  <c r="G734" i="2"/>
  <c r="I734" i="2" s="1"/>
  <c r="G747" i="2"/>
  <c r="I747" i="2" s="1"/>
  <c r="G737" i="2"/>
  <c r="I737" i="2" s="1"/>
  <c r="L2" i="2" l="1"/>
  <c r="B5" i="3" l="1"/>
  <c r="I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<sst xmlns="http://schemas.openxmlformats.org/spreadsheetml/2006/main" count="20" uniqueCount="20">
  <si>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馬番</t>
  </si>
  <si>
    <t>複勝オッズ</t>
  </si>
  <si>
    <t>オッズの逆数</t>
  </si>
  <si>
    <t>3着以内確率 q_i（正規化）</t>
  </si>
  <si>
    <t>馬A</t>
  </si>
  <si>
    <t>馬B</t>
  </si>
  <si>
    <t>馬C</t>
  </si>
  <si>
    <t>総投資予算</t>
    <phoneticPr fontId="2"/>
  </si>
  <si>
    <t>三連複しきい値</t>
    <phoneticPr fontId="2"/>
  </si>
  <si>
    <t>ヘッジ対象の馬番</t>
    <phoneticPr fontId="2"/>
  </si>
  <si>
    <t>ヘッジ馬の複勝オッズ</t>
    <phoneticPr fontId="2"/>
  </si>
  <si>
    <t>勝負ゾーンの対象点数</t>
    <phoneticPr fontId="2"/>
  </si>
  <si>
    <t>複勝ヘッジへの購入金額</t>
    <phoneticPr fontId="2"/>
  </si>
  <si>
    <t>三連複への分配総額</t>
    <phoneticPr fontId="2"/>
  </si>
  <si>
    <t>複勝一番人気</t>
    <rPh sb="0" eb="6">
      <t>フクショウイチバンニンキ</t>
    </rPh>
    <phoneticPr fontId="2"/>
  </si>
  <si>
    <t>複勝二番人気</t>
    <rPh sb="0" eb="6">
      <t>フクショウニバンニンキ</t>
    </rPh>
    <phoneticPr fontId="2"/>
  </si>
  <si>
    <t>最下位人気</t>
    <phoneticPr fontId="2"/>
  </si>
  <si>
    <t>ブービー人気</t>
    <phoneticPr fontId="2"/>
  </si>
  <si>
    <t>下から3番目</t>
    <phoneticPr fontId="2"/>
  </si>
  <si>
    <t>勝負ゾーンの最大オッズ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</si>
</sst>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5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2889-243D-40A0-B03F-CF6E04857951}">
  <dimension ref="A1:D19"/>
  <sheetViews>
    <sheetView tabSelected="1" workbookViewId="0">
      <selection activeCell="B24" sqref="B24"/>
    </sheetView>
  </sheetViews>
  <sheetFormatPr defaultRowHeight="18.75" x14ac:dyDescent="0.4"/>
  <cols>
    <col min="1" max="3" width="18.375" customWidth="1"/>
    <col min="4" max="4" width="23.75" customWidth="1"/>
  </cols>
  <sheetData>
    <row r="1" spans="1:4" ht="18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>
        <v>1</v>
      </c>
      <c r="B2">
        <v>1.2</v>
      </c>
      <c r="C2">
        <f>IF(ISNUMBER(B2), 1/B2, "")</f>
        <v>0.83333333333333337</v>
      </c>
      <c r="D2">
        <f>IF(C2&lt;&gt;"", C2/SUM($C$2:$C$19), "")</f>
        <v>0.29775022002530088</v>
      </c>
    </row>
    <row r="3" spans="1:4" x14ac:dyDescent="0.4">
      <c r="A3">
        <v>2</v>
      </c>
      <c r="B3">
        <v>1.8</v>
      </c>
      <c r="C3">
        <f t="shared" ref="C3:C19" si="0">IF(ISNUMBER(B3), 1/B3, "")</f>
        <v>0.55555555555555558</v>
      </c>
      <c r="D3">
        <f t="shared" ref="D3:D19" si="1">IF(C3&lt;&gt;"", C3/SUM($C$2:$C$19), "")</f>
        <v>0.19850014668353391</v>
      </c>
    </row>
    <row r="4" spans="1:4" x14ac:dyDescent="0.4">
      <c r="A4">
        <v>3</v>
      </c>
      <c r="B4">
        <v>2.1</v>
      </c>
      <c r="C4">
        <f t="shared" si="0"/>
        <v>0.47619047619047616</v>
      </c>
      <c r="D4">
        <f t="shared" si="1"/>
        <v>0.17014298287160048</v>
      </c>
    </row>
    <row r="5" spans="1:4" x14ac:dyDescent="0.4">
      <c r="A5">
        <v>4</v>
      </c>
      <c r="B5">
        <v>5</v>
      </c>
      <c r="C5">
        <f t="shared" si="0"/>
        <v>0.2</v>
      </c>
      <c r="D5">
        <f t="shared" si="1"/>
        <v>7.1460052806072205E-2</v>
      </c>
    </row>
    <row r="6" spans="1:4" x14ac:dyDescent="0.4">
      <c r="A6">
        <v>5</v>
      </c>
      <c r="B6">
        <v>8</v>
      </c>
      <c r="C6">
        <f t="shared" si="0"/>
        <v>0.125</v>
      </c>
      <c r="D6">
        <f t="shared" si="1"/>
        <v>4.4662533003795128E-2</v>
      </c>
    </row>
    <row r="7" spans="1:4" x14ac:dyDescent="0.4">
      <c r="A7">
        <v>6</v>
      </c>
      <c r="B7">
        <v>11</v>
      </c>
      <c r="C7">
        <f t="shared" si="0"/>
        <v>9.0909090909090912E-2</v>
      </c>
      <c r="D7">
        <f t="shared" si="1"/>
        <v>3.2481842184578273E-2</v>
      </c>
    </row>
    <row r="8" spans="1:4" x14ac:dyDescent="0.4">
      <c r="A8">
        <v>7</v>
      </c>
      <c r="B8">
        <v>12</v>
      </c>
      <c r="C8">
        <f t="shared" si="0"/>
        <v>8.3333333333333329E-2</v>
      </c>
      <c r="D8">
        <f t="shared" si="1"/>
        <v>2.9775022002530085E-2</v>
      </c>
    </row>
    <row r="9" spans="1:4" x14ac:dyDescent="0.4">
      <c r="A9">
        <v>8</v>
      </c>
      <c r="B9">
        <v>15</v>
      </c>
      <c r="C9">
        <f t="shared" si="0"/>
        <v>6.6666666666666666E-2</v>
      </c>
      <c r="D9">
        <f t="shared" si="1"/>
        <v>2.3820017602024068E-2</v>
      </c>
    </row>
    <row r="10" spans="1:4" x14ac:dyDescent="0.4">
      <c r="A10">
        <v>9</v>
      </c>
      <c r="B10">
        <v>18</v>
      </c>
      <c r="C10">
        <f t="shared" si="0"/>
        <v>5.5555555555555552E-2</v>
      </c>
      <c r="D10">
        <f t="shared" si="1"/>
        <v>1.9850014668353389E-2</v>
      </c>
    </row>
    <row r="11" spans="1:4" x14ac:dyDescent="0.4">
      <c r="A11">
        <v>10</v>
      </c>
      <c r="B11">
        <v>20</v>
      </c>
      <c r="C11">
        <f t="shared" si="0"/>
        <v>0.05</v>
      </c>
      <c r="D11">
        <f t="shared" si="1"/>
        <v>1.7865013201518051E-2</v>
      </c>
    </row>
    <row r="12" spans="1:4" x14ac:dyDescent="0.4">
      <c r="A12">
        <v>11</v>
      </c>
      <c r="B12">
        <v>22</v>
      </c>
      <c r="C12">
        <f t="shared" si="0"/>
        <v>4.5454545454545456E-2</v>
      </c>
      <c r="D12">
        <f t="shared" si="1"/>
        <v>1.6240921092289137E-2</v>
      </c>
    </row>
    <row r="13" spans="1:4" x14ac:dyDescent="0.4">
      <c r="A13">
        <v>12</v>
      </c>
      <c r="B13">
        <v>24</v>
      </c>
      <c r="C13">
        <f t="shared" si="0"/>
        <v>4.1666666666666664E-2</v>
      </c>
      <c r="D13">
        <f t="shared" si="1"/>
        <v>1.4887511001265043E-2</v>
      </c>
    </row>
    <row r="14" spans="1:4" x14ac:dyDescent="0.4">
      <c r="A14">
        <v>13</v>
      </c>
      <c r="B14">
        <v>28</v>
      </c>
      <c r="C14">
        <f t="shared" si="0"/>
        <v>3.5714285714285712E-2</v>
      </c>
      <c r="D14">
        <f t="shared" si="1"/>
        <v>1.2760723715370036E-2</v>
      </c>
    </row>
    <row r="15" spans="1:4" x14ac:dyDescent="0.4">
      <c r="A15">
        <v>14</v>
      </c>
      <c r="B15">
        <v>31</v>
      </c>
      <c r="C15">
        <f t="shared" si="0"/>
        <v>3.2258064516129031E-2</v>
      </c>
      <c r="D15">
        <f t="shared" si="1"/>
        <v>1.1525814968721322E-2</v>
      </c>
    </row>
    <row r="16" spans="1:4" x14ac:dyDescent="0.4">
      <c r="A16">
        <v>15</v>
      </c>
      <c r="B16">
        <v>33.4</v>
      </c>
      <c r="C16">
        <f t="shared" si="0"/>
        <v>2.9940119760479042E-2</v>
      </c>
      <c r="D16">
        <f t="shared" si="1"/>
        <v>1.0697612695519792E-2</v>
      </c>
    </row>
    <row r="17" spans="1:4" x14ac:dyDescent="0.4">
      <c r="A17">
        <v>16</v>
      </c>
      <c r="B17">
        <v>36.200000000000003</v>
      </c>
      <c r="C17">
        <f t="shared" si="0"/>
        <v>2.7624309392265192E-2</v>
      </c>
      <c r="D17">
        <f t="shared" si="1"/>
        <v>9.8701730395127345E-3</v>
      </c>
    </row>
    <row r="18" spans="1:4" x14ac:dyDescent="0.4">
      <c r="A18">
        <v>17</v>
      </c>
      <c r="B18">
        <v>39</v>
      </c>
      <c r="C18">
        <f t="shared" si="0"/>
        <v>2.564102564102564E-2</v>
      </c>
      <c r="D18">
        <f t="shared" si="1"/>
        <v>9.1615452315477186E-3</v>
      </c>
    </row>
    <row r="19" spans="1:4" x14ac:dyDescent="0.4">
      <c r="A19">
        <v>18</v>
      </c>
      <c r="B19">
        <v>41.8</v>
      </c>
      <c r="C19">
        <f t="shared" si="0"/>
        <v>2.3923444976076555E-2</v>
      </c>
      <c r="D19">
        <f t="shared" si="1"/>
        <v>8.5478532064679671E-3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4D9E-A74B-4B06-B4B7-7DA0AF0DC399}">
  <dimension ref="A1:L817"/>
  <sheetViews>
    <sheetView workbookViewId="0">
      <selection activeCell="J2" sqref="J2:J817"/>
    </sheetView>
  </sheetViews>
  <sheetFormatPr defaultRowHeight="18.75" x14ac:dyDescent="0.4"/>
  <cols>
    <col min="1" max="1" width="8.25" customWidth="1"/>
    <col min="4" max="4" width="15.5" customWidth="1"/>
    <col min="5" max="5" width="16.625" customWidth="1"/>
    <col min="6" max="6" width="17.375" customWidth="1"/>
    <col min="7" max="7" width="17.75" customWidth="1"/>
    <col min="8" max="10" width="14.125" customWidth="1"/>
  </cols>
  <sheetData>
    <row r="1" spans="1:12" x14ac:dyDescent="0.4">
      <c r="A1" t="s">
        <v>4</v>
      </c>
      <c r="B1" t="s">
        <v>5</v>
      </c>
      <c r="C1" t="s">
        <v>6</v>
      </c>
    </row>
    <row r="2" spans="1:12" x14ac:dyDescent="0.4">
      <c r="A2">
        <v>1</v>
      </c>
      <c r="B2">
        <v>2</v>
      </c>
      <c r="C2">
        <v>3</v>
      </c>
      <c r="D2">
        <f>IFERROR(IF(_xlfn.XLOOKUP(A2, ①オッズ入力!$A$2:$A$19, ①オッズ入力!$D$2:$D$19, "")="", 0, _xlfn.XLOOKUP(A2, ①オッズ入力!$A$2:$A$19, ①オッズ入力!$D$2:$D$19, 0)), 0)</f>
        <v>0.29775022002530088</v>
      </c>
      <c r="E2">
        <f>IFERROR(IF(_xlfn.XLOOKUP(B2, ①オッズ入力!$A$2:$A$19, ①オッズ入力!$D$2:$D$19, "")="", 0, _xlfn.XLOOKUP(B2, ①オッズ入力!$A$2:$A$19, ①オッズ入力!$D$2:$D$19, 0)), 0)</f>
        <v>0.19850014668353391</v>
      </c>
      <c r="F2">
        <f>IFERROR(IF(_xlfn.XLOOKUP(C2, ①オッズ入力!$A$2:$A$19, ①オッズ入力!$D$2:$D$19, "")="", 0, _xlfn.XLOOKUP(C2, ①オッズ入力!$A$2:$A$19, ①オッズ入力!$D$2:$D$19, 0)), 0)</f>
        <v>0.17014298287160048</v>
      </c>
      <c r="G2">
        <f>IF(OR(D2=0, E2=0, F2=0), "", 1/(D2*E2*F2))</f>
        <v>99.442729088947999</v>
      </c>
      <c r="H2">
        <f>IF(G2="", 0, IF(OR(A2=③資金配分!$D$1, A2=③資金配分!$D$2, B2=③資金配分!$D$1, B2=③資金配分!$D$2, C2=③資金配分!$D$1, C2=③資金配分!$D$2), 0, IF(OR(A2=③資金配分!$D$4, A2=③資金配分!$D$5, A2=③資金配分!$D$6, B2=③資金配分!$D$4, B2=③資金配分!$D$5, B2=③資金配分!$D$6, C2=③資金配分!$D$4, C2=③資金配分!$D$5, C2=③資金配分!$D$6), 0, IF(AND(③資金配分!$B$8&gt;0, G2&lt;=③資金配分!$B$8), 1, 0))))</f>
        <v>0</v>
      </c>
      <c r="I2">
        <f>IF(H2=1, 1/G2, 0)</f>
        <v>0</v>
      </c>
      <c r="J2">
        <f>IF(I2&gt;0, ROUND((I2 / SUM($I$2:$I$817)) * ③資金配分!$B$7, -2), 0)</f>
        <v>0</v>
      </c>
      <c r="K2">
        <v>200</v>
      </c>
      <c r="L2">
        <f>_xlfn.MAXIFS(G2:G817, G2:G817, "&lt;="&amp;K2)</f>
        <v>99.442729088947999</v>
      </c>
    </row>
    <row r="3" spans="1:12" x14ac:dyDescent="0.4">
      <c r="A3">
        <v>1</v>
      </c>
      <c r="B3">
        <v>2</v>
      </c>
      <c r="C3">
        <v>4</v>
      </c>
      <c r="D3">
        <f>IFERROR(IF(_xlfn.XLOOKUP(A3, ①オッズ入力!$A$2:$A$19, ①オッズ入力!$D$2:$D$19, "")="", 0, _xlfn.XLOOKUP(A3, ①オッズ入力!$A$2:$A$19, ①オッズ入力!$D$2:$D$19, 0)), 0)</f>
        <v>0.29775022002530088</v>
      </c>
      <c r="E3">
        <f>IFERROR(IF(_xlfn.XLOOKUP(B3, ①オッズ入力!$A$2:$A$19, ①オッズ入力!$D$2:$D$19, "")="", 0, _xlfn.XLOOKUP(B3, ①オッズ入力!$A$2:$A$19, ①オッズ入力!$D$2:$D$19, 0)), 0)</f>
        <v>0.19850014668353391</v>
      </c>
      <c r="F3">
        <f>IFERROR(IF(_xlfn.XLOOKUP(C3, ①オッズ入力!$A$2:$A$19, ①オッズ入力!$D$2:$D$19, "")="", 0, _xlfn.XLOOKUP(C3, ①オッズ入力!$A$2:$A$19, ①オッズ入力!$D$2:$D$19, 0)), 0)</f>
        <v>7.1460052806072205E-2</v>
      </c>
      <c r="G3">
        <f t="shared" ref="G3:G66" si="0">IF(OR(D3=0, E3=0, F3=0), "", 1/(D3*E3*F3))</f>
        <v>236.76840259273331</v>
      </c>
      <c r="H3">
        <f>IF(G3="", 0, IF(OR(A3=③資金配分!$D$1, A3=③資金配分!$D$2, B3=③資金配分!$D$1, B3=③資金配分!$D$2, C3=③資金配分!$D$1, C3=③資金配分!$D$2), 0, IF(OR(A3=③資金配分!$D$4, A3=③資金配分!$D$5, A3=③資金配分!$D$6, B3=③資金配分!$D$4, B3=③資金配分!$D$5, B3=③資金配分!$D$6, C3=③資金配分!$D$4, C3=③資金配分!$D$5, C3=③資金配分!$D$6), 0, IF(AND(③資金配分!$B$8&gt;0, G3&lt;=③資金配分!$B$8), 1, 0))))</f>
        <v>0</v>
      </c>
      <c r="I3">
        <f t="shared" ref="I3:I66" si="1">IF(H3=1, 1/G3, 0)</f>
        <v>0</v>
      </c>
      <c r="J3">
        <f>IF(I3&gt;0, ROUND((I3 / SUM($I$2:$I$817)) * ③資金配分!$B$7, -2), 0)</f>
        <v>0</v>
      </c>
    </row>
    <row r="4" spans="1:12" x14ac:dyDescent="0.4">
      <c r="A4">
        <v>1</v>
      </c>
      <c r="B4">
        <v>2</v>
      </c>
      <c r="C4">
        <v>5</v>
      </c>
      <c r="D4">
        <f>IFERROR(IF(_xlfn.XLOOKUP(A4, ①オッズ入力!$A$2:$A$19, ①オッズ入力!$D$2:$D$19, "")="", 0, _xlfn.XLOOKUP(A4, ①オッズ入力!$A$2:$A$19, ①オッズ入力!$D$2:$D$19, 0)), 0)</f>
        <v>0.29775022002530088</v>
      </c>
      <c r="E4">
        <f>IFERROR(IF(_xlfn.XLOOKUP(B4, ①オッズ入力!$A$2:$A$19, ①オッズ入力!$D$2:$D$19, "")="", 0, _xlfn.XLOOKUP(B4, ①オッズ入力!$A$2:$A$19, ①オッズ入力!$D$2:$D$19, 0)), 0)</f>
        <v>0.19850014668353391</v>
      </c>
      <c r="F4">
        <f>IFERROR(IF(_xlfn.XLOOKUP(C4, ①オッズ入力!$A$2:$A$19, ①オッズ入力!$D$2:$D$19, "")="", 0, _xlfn.XLOOKUP(C4, ①オッズ入力!$A$2:$A$19, ①オッズ入力!$D$2:$D$19, 0)), 0)</f>
        <v>4.4662533003795128E-2</v>
      </c>
      <c r="G4">
        <f t="shared" si="0"/>
        <v>378.82944414837334</v>
      </c>
      <c r="H4">
        <f>IF(G4="", 0, IF(OR(A4=③資金配分!$D$1, A4=③資金配分!$D$2, B4=③資金配分!$D$1, B4=③資金配分!$D$2, C4=③資金配分!$D$1, C4=③資金配分!$D$2), 0, IF(OR(A4=③資金配分!$D$4, A4=③資金配分!$D$5, A4=③資金配分!$D$6, B4=③資金配分!$D$4, B4=③資金配分!$D$5, B4=③資金配分!$D$6, C4=③資金配分!$D$4, C4=③資金配分!$D$5, C4=③資金配分!$D$6), 0, IF(AND(③資金配分!$B$8&gt;0, G4&lt;=③資金配分!$B$8), 1, 0))))</f>
        <v>0</v>
      </c>
      <c r="I4">
        <f t="shared" si="1"/>
        <v>0</v>
      </c>
      <c r="J4">
        <f>IF(I4&gt;0, ROUND((I4 / SUM($I$2:$I$817)) * ③資金配分!$B$7, -2), 0)</f>
        <v>0</v>
      </c>
    </row>
    <row r="5" spans="1:12" x14ac:dyDescent="0.4">
      <c r="A5">
        <v>1</v>
      </c>
      <c r="B5">
        <v>2</v>
      </c>
      <c r="C5">
        <v>6</v>
      </c>
      <c r="D5">
        <f>IFERROR(IF(_xlfn.XLOOKUP(A5, ①オッズ入力!$A$2:$A$19, ①オッズ入力!$D$2:$D$19, "")="", 0, _xlfn.XLOOKUP(A5, ①オッズ入力!$A$2:$A$19, ①オッズ入力!$D$2:$D$19, 0)), 0)</f>
        <v>0.29775022002530088</v>
      </c>
      <c r="E5">
        <f>IFERROR(IF(_xlfn.XLOOKUP(B5, ①オッズ入力!$A$2:$A$19, ①オッズ入力!$D$2:$D$19, "")="", 0, _xlfn.XLOOKUP(B5, ①オッズ入力!$A$2:$A$19, ①オッズ入力!$D$2:$D$19, 0)), 0)</f>
        <v>0.19850014668353391</v>
      </c>
      <c r="F5">
        <f>IFERROR(IF(_xlfn.XLOOKUP(C5, ①オッズ入力!$A$2:$A$19, ①オッズ入力!$D$2:$D$19, "")="", 0, _xlfn.XLOOKUP(C5, ①オッズ入力!$A$2:$A$19, ①オッズ入力!$D$2:$D$19, 0)), 0)</f>
        <v>3.2481842184578273E-2</v>
      </c>
      <c r="G5">
        <f t="shared" si="0"/>
        <v>520.89048570401337</v>
      </c>
      <c r="H5">
        <f>IF(G5="", 0, IF(OR(A5=③資金配分!$D$1, A5=③資金配分!$D$2, B5=③資金配分!$D$1, B5=③資金配分!$D$2, C5=③資金配分!$D$1, C5=③資金配分!$D$2), 0, IF(OR(A5=③資金配分!$D$4, A5=③資金配分!$D$5, A5=③資金配分!$D$6, B5=③資金配分!$D$4, B5=③資金配分!$D$5, B5=③資金配分!$D$6, C5=③資金配分!$D$4, C5=③資金配分!$D$5, C5=③資金配分!$D$6), 0, IF(AND(③資金配分!$B$8&gt;0, G5&lt;=③資金配分!$B$8), 1, 0))))</f>
        <v>0</v>
      </c>
      <c r="I5">
        <f t="shared" si="1"/>
        <v>0</v>
      </c>
      <c r="J5">
        <f>IF(I5&gt;0, ROUND((I5 / SUM($I$2:$I$817)) * ③資金配分!$B$7, -2), 0)</f>
        <v>0</v>
      </c>
    </row>
    <row r="6" spans="1:12" x14ac:dyDescent="0.4">
      <c r="A6">
        <v>1</v>
      </c>
      <c r="B6">
        <v>2</v>
      </c>
      <c r="C6">
        <v>7</v>
      </c>
      <c r="D6">
        <f>IFERROR(IF(_xlfn.XLOOKUP(A6, ①オッズ入力!$A$2:$A$19, ①オッズ入力!$D$2:$D$19, "")="", 0, _xlfn.XLOOKUP(A6, ①オッズ入力!$A$2:$A$19, ①オッズ入力!$D$2:$D$19, 0)), 0)</f>
        <v>0.29775022002530088</v>
      </c>
      <c r="E6">
        <f>IFERROR(IF(_xlfn.XLOOKUP(B6, ①オッズ入力!$A$2:$A$19, ①オッズ入力!$D$2:$D$19, "")="", 0, _xlfn.XLOOKUP(B6, ①オッズ入力!$A$2:$A$19, ①オッズ入力!$D$2:$D$19, 0)), 0)</f>
        <v>0.19850014668353391</v>
      </c>
      <c r="F6">
        <f>IFERROR(IF(_xlfn.XLOOKUP(C6, ①オッズ入力!$A$2:$A$19, ①オッズ入力!$D$2:$D$19, "")="", 0, _xlfn.XLOOKUP(C6, ①オッズ入力!$A$2:$A$19, ①オッズ入力!$D$2:$D$19, 0)), 0)</f>
        <v>2.9775022002530085E-2</v>
      </c>
      <c r="G6">
        <f t="shared" si="0"/>
        <v>568.24416622256001</v>
      </c>
      <c r="H6">
        <f>IF(G6="", 0, IF(OR(A6=③資金配分!$D$1, A6=③資金配分!$D$2, B6=③資金配分!$D$1, B6=③資金配分!$D$2, C6=③資金配分!$D$1, C6=③資金配分!$D$2), 0, IF(OR(A6=③資金配分!$D$4, A6=③資金配分!$D$5, A6=③資金配分!$D$6, B6=③資金配分!$D$4, B6=③資金配分!$D$5, B6=③資金配分!$D$6, C6=③資金配分!$D$4, C6=③資金配分!$D$5, C6=③資金配分!$D$6), 0, IF(AND(③資金配分!$B$8&gt;0, G6&lt;=③資金配分!$B$8), 1, 0))))</f>
        <v>0</v>
      </c>
      <c r="I6">
        <f t="shared" si="1"/>
        <v>0</v>
      </c>
      <c r="J6">
        <f>IF(I6&gt;0, ROUND((I6 / SUM($I$2:$I$817)) * ③資金配分!$B$7, -2), 0)</f>
        <v>0</v>
      </c>
    </row>
    <row r="7" spans="1:12" x14ac:dyDescent="0.4">
      <c r="A7">
        <v>1</v>
      </c>
      <c r="B7">
        <v>2</v>
      </c>
      <c r="C7">
        <v>8</v>
      </c>
      <c r="D7">
        <f>IFERROR(IF(_xlfn.XLOOKUP(A7, ①オッズ入力!$A$2:$A$19, ①オッズ入力!$D$2:$D$19, "")="", 0, _xlfn.XLOOKUP(A7, ①オッズ入力!$A$2:$A$19, ①オッズ入力!$D$2:$D$19, 0)), 0)</f>
        <v>0.29775022002530088</v>
      </c>
      <c r="E7">
        <f>IFERROR(IF(_xlfn.XLOOKUP(B7, ①オッズ入力!$A$2:$A$19, ①オッズ入力!$D$2:$D$19, "")="", 0, _xlfn.XLOOKUP(B7, ①オッズ入力!$A$2:$A$19, ①オッズ入力!$D$2:$D$19, 0)), 0)</f>
        <v>0.19850014668353391</v>
      </c>
      <c r="F7">
        <f>IFERROR(IF(_xlfn.XLOOKUP(C7, ①オッズ入力!$A$2:$A$19, ①オッズ入力!$D$2:$D$19, "")="", 0, _xlfn.XLOOKUP(C7, ①オッズ入力!$A$2:$A$19, ①オッズ入力!$D$2:$D$19, 0)), 0)</f>
        <v>2.3820017602024068E-2</v>
      </c>
      <c r="G7">
        <f t="shared" si="0"/>
        <v>710.30520777819993</v>
      </c>
      <c r="H7">
        <f>IF(G7="", 0, IF(OR(A7=③資金配分!$D$1, A7=③資金配分!$D$2, B7=③資金配分!$D$1, B7=③資金配分!$D$2, C7=③資金配分!$D$1, C7=③資金配分!$D$2), 0, IF(OR(A7=③資金配分!$D$4, A7=③資金配分!$D$5, A7=③資金配分!$D$6, B7=③資金配分!$D$4, B7=③資金配分!$D$5, B7=③資金配分!$D$6, C7=③資金配分!$D$4, C7=③資金配分!$D$5, C7=③資金配分!$D$6), 0, IF(AND(③資金配分!$B$8&gt;0, G7&lt;=③資金配分!$B$8), 1, 0))))</f>
        <v>0</v>
      </c>
      <c r="I7">
        <f t="shared" si="1"/>
        <v>0</v>
      </c>
      <c r="J7">
        <f>IF(I7&gt;0, ROUND((I7 / SUM($I$2:$I$817)) * ③資金配分!$B$7, -2), 0)</f>
        <v>0</v>
      </c>
    </row>
    <row r="8" spans="1:12" x14ac:dyDescent="0.4">
      <c r="A8">
        <v>1</v>
      </c>
      <c r="B8">
        <v>2</v>
      </c>
      <c r="C8">
        <v>9</v>
      </c>
      <c r="D8">
        <f>IFERROR(IF(_xlfn.XLOOKUP(A8, ①オッズ入力!$A$2:$A$19, ①オッズ入力!$D$2:$D$19, "")="", 0, _xlfn.XLOOKUP(A8, ①オッズ入力!$A$2:$A$19, ①オッズ入力!$D$2:$D$19, 0)), 0)</f>
        <v>0.29775022002530088</v>
      </c>
      <c r="E8">
        <f>IFERROR(IF(_xlfn.XLOOKUP(B8, ①オッズ入力!$A$2:$A$19, ①オッズ入力!$D$2:$D$19, "")="", 0, _xlfn.XLOOKUP(B8, ①オッズ入力!$A$2:$A$19, ①オッズ入力!$D$2:$D$19, 0)), 0)</f>
        <v>0.19850014668353391</v>
      </c>
      <c r="F8">
        <f>IFERROR(IF(_xlfn.XLOOKUP(C8, ①オッズ入力!$A$2:$A$19, ①オッズ入力!$D$2:$D$19, "")="", 0, _xlfn.XLOOKUP(C8, ①オッズ入力!$A$2:$A$19, ①オッズ入力!$D$2:$D$19, 0)), 0)</f>
        <v>1.9850014668353389E-2</v>
      </c>
      <c r="G8">
        <f t="shared" si="0"/>
        <v>852.36624933383996</v>
      </c>
      <c r="H8">
        <f>IF(G8="", 0, IF(OR(A8=③資金配分!$D$1, A8=③資金配分!$D$2, B8=③資金配分!$D$1, B8=③資金配分!$D$2, C8=③資金配分!$D$1, C8=③資金配分!$D$2), 0, IF(OR(A8=③資金配分!$D$4, A8=③資金配分!$D$5, A8=③資金配分!$D$6, B8=③資金配分!$D$4, B8=③資金配分!$D$5, B8=③資金配分!$D$6, C8=③資金配分!$D$4, C8=③資金配分!$D$5, C8=③資金配分!$D$6), 0, IF(AND(③資金配分!$B$8&gt;0, G8&lt;=③資金配分!$B$8), 1, 0))))</f>
        <v>0</v>
      </c>
      <c r="I8">
        <f t="shared" si="1"/>
        <v>0</v>
      </c>
      <c r="J8">
        <f>IF(I8&gt;0, ROUND((I8 / SUM($I$2:$I$817)) * ③資金配分!$B$7, -2), 0)</f>
        <v>0</v>
      </c>
    </row>
    <row r="9" spans="1:12" x14ac:dyDescent="0.4">
      <c r="A9">
        <v>1</v>
      </c>
      <c r="B9">
        <v>2</v>
      </c>
      <c r="C9">
        <v>10</v>
      </c>
      <c r="D9">
        <f>IFERROR(IF(_xlfn.XLOOKUP(A9, ①オッズ入力!$A$2:$A$19, ①オッズ入力!$D$2:$D$19, "")="", 0, _xlfn.XLOOKUP(A9, ①オッズ入力!$A$2:$A$19, ①オッズ入力!$D$2:$D$19, 0)), 0)</f>
        <v>0.29775022002530088</v>
      </c>
      <c r="E9">
        <f>IFERROR(IF(_xlfn.XLOOKUP(B9, ①オッズ入力!$A$2:$A$19, ①オッズ入力!$D$2:$D$19, "")="", 0, _xlfn.XLOOKUP(B9, ①オッズ入力!$A$2:$A$19, ①オッズ入力!$D$2:$D$19, 0)), 0)</f>
        <v>0.19850014668353391</v>
      </c>
      <c r="F9">
        <f>IFERROR(IF(_xlfn.XLOOKUP(C9, ①オッズ入力!$A$2:$A$19, ①オッズ入力!$D$2:$D$19, "")="", 0, _xlfn.XLOOKUP(C9, ①オッズ入力!$A$2:$A$19, ①オッズ入力!$D$2:$D$19, 0)), 0)</f>
        <v>1.7865013201518051E-2</v>
      </c>
      <c r="G9">
        <f t="shared" si="0"/>
        <v>947.07361037093324</v>
      </c>
      <c r="H9">
        <f>IF(G9="", 0, IF(OR(A9=③資金配分!$D$1, A9=③資金配分!$D$2, B9=③資金配分!$D$1, B9=③資金配分!$D$2, C9=③資金配分!$D$1, C9=③資金配分!$D$2), 0, IF(OR(A9=③資金配分!$D$4, A9=③資金配分!$D$5, A9=③資金配分!$D$6, B9=③資金配分!$D$4, B9=③資金配分!$D$5, B9=③資金配分!$D$6, C9=③資金配分!$D$4, C9=③資金配分!$D$5, C9=③資金配分!$D$6), 0, IF(AND(③資金配分!$B$8&gt;0, G9&lt;=③資金配分!$B$8), 1, 0))))</f>
        <v>0</v>
      </c>
      <c r="I9">
        <f t="shared" si="1"/>
        <v>0</v>
      </c>
      <c r="J9">
        <f>IF(I9&gt;0, ROUND((I9 / SUM($I$2:$I$817)) * ③資金配分!$B$7, -2), 0)</f>
        <v>0</v>
      </c>
    </row>
    <row r="10" spans="1:12" x14ac:dyDescent="0.4">
      <c r="A10">
        <v>1</v>
      </c>
      <c r="B10">
        <v>2</v>
      </c>
      <c r="C10">
        <v>11</v>
      </c>
      <c r="D10">
        <f>IFERROR(IF(_xlfn.XLOOKUP(A10, ①オッズ入力!$A$2:$A$19, ①オッズ入力!$D$2:$D$19, "")="", 0, _xlfn.XLOOKUP(A10, ①オッズ入力!$A$2:$A$19, ①オッズ入力!$D$2:$D$19, 0)), 0)</f>
        <v>0.29775022002530088</v>
      </c>
      <c r="E10">
        <f>IFERROR(IF(_xlfn.XLOOKUP(B10, ①オッズ入力!$A$2:$A$19, ①オッズ入力!$D$2:$D$19, "")="", 0, _xlfn.XLOOKUP(B10, ①オッズ入力!$A$2:$A$19, ①オッズ入力!$D$2:$D$19, 0)), 0)</f>
        <v>0.19850014668353391</v>
      </c>
      <c r="F10">
        <f>IFERROR(IF(_xlfn.XLOOKUP(C10, ①オッズ入力!$A$2:$A$19, ①オッズ入力!$D$2:$D$19, "")="", 0, _xlfn.XLOOKUP(C10, ①オッズ入力!$A$2:$A$19, ①オッズ入力!$D$2:$D$19, 0)), 0)</f>
        <v>1.6240921092289137E-2</v>
      </c>
      <c r="G10">
        <f t="shared" si="0"/>
        <v>1041.7809714080267</v>
      </c>
      <c r="H10">
        <f>IF(G10="", 0, IF(OR(A10=③資金配分!$D$1, A10=③資金配分!$D$2, B10=③資金配分!$D$1, B10=③資金配分!$D$2, C10=③資金配分!$D$1, C10=③資金配分!$D$2), 0, IF(OR(A10=③資金配分!$D$4, A10=③資金配分!$D$5, A10=③資金配分!$D$6, B10=③資金配分!$D$4, B10=③資金配分!$D$5, B10=③資金配分!$D$6, C10=③資金配分!$D$4, C10=③資金配分!$D$5, C10=③資金配分!$D$6), 0, IF(AND(③資金配分!$B$8&gt;0, G10&lt;=③資金配分!$B$8), 1, 0))))</f>
        <v>0</v>
      </c>
      <c r="I10">
        <f t="shared" si="1"/>
        <v>0</v>
      </c>
      <c r="J10">
        <f>IF(I10&gt;0, ROUND((I10 / SUM($I$2:$I$817)) * ③資金配分!$B$7, -2), 0)</f>
        <v>0</v>
      </c>
    </row>
    <row r="11" spans="1:12" x14ac:dyDescent="0.4">
      <c r="A11">
        <v>1</v>
      </c>
      <c r="B11">
        <v>2</v>
      </c>
      <c r="C11">
        <v>12</v>
      </c>
      <c r="D11">
        <f>IFERROR(IF(_xlfn.XLOOKUP(A11, ①オッズ入力!$A$2:$A$19, ①オッズ入力!$D$2:$D$19, "")="", 0, _xlfn.XLOOKUP(A11, ①オッズ入力!$A$2:$A$19, ①オッズ入力!$D$2:$D$19, 0)), 0)</f>
        <v>0.29775022002530088</v>
      </c>
      <c r="E11">
        <f>IFERROR(IF(_xlfn.XLOOKUP(B11, ①オッズ入力!$A$2:$A$19, ①オッズ入力!$D$2:$D$19, "")="", 0, _xlfn.XLOOKUP(B11, ①オッズ入力!$A$2:$A$19, ①オッズ入力!$D$2:$D$19, 0)), 0)</f>
        <v>0.19850014668353391</v>
      </c>
      <c r="F11">
        <f>IFERROR(IF(_xlfn.XLOOKUP(C11, ①オッズ入力!$A$2:$A$19, ①オッズ入力!$D$2:$D$19, "")="", 0, _xlfn.XLOOKUP(C11, ①オッズ入力!$A$2:$A$19, ①オッズ入力!$D$2:$D$19, 0)), 0)</f>
        <v>1.4887511001265043E-2</v>
      </c>
      <c r="G11">
        <f t="shared" si="0"/>
        <v>1136.48833244512</v>
      </c>
      <c r="H11">
        <f>IF(G11="", 0, IF(OR(A11=③資金配分!$D$1, A11=③資金配分!$D$2, B11=③資金配分!$D$1, B11=③資金配分!$D$2, C11=③資金配分!$D$1, C11=③資金配分!$D$2), 0, IF(OR(A11=③資金配分!$D$4, A11=③資金配分!$D$5, A11=③資金配分!$D$6, B11=③資金配分!$D$4, B11=③資金配分!$D$5, B11=③資金配分!$D$6, C11=③資金配分!$D$4, C11=③資金配分!$D$5, C11=③資金配分!$D$6), 0, IF(AND(③資金配分!$B$8&gt;0, G11&lt;=③資金配分!$B$8), 1, 0))))</f>
        <v>0</v>
      </c>
      <c r="I11">
        <f t="shared" si="1"/>
        <v>0</v>
      </c>
      <c r="J11">
        <f>IF(I11&gt;0, ROUND((I11 / SUM($I$2:$I$817)) * ③資金配分!$B$7, -2), 0)</f>
        <v>0</v>
      </c>
    </row>
    <row r="12" spans="1:12" x14ac:dyDescent="0.4">
      <c r="A12">
        <v>1</v>
      </c>
      <c r="B12">
        <v>2</v>
      </c>
      <c r="C12">
        <v>13</v>
      </c>
      <c r="D12">
        <f>IFERROR(IF(_xlfn.XLOOKUP(A12, ①オッズ入力!$A$2:$A$19, ①オッズ入力!$D$2:$D$19, "")="", 0, _xlfn.XLOOKUP(A12, ①オッズ入力!$A$2:$A$19, ①オッズ入力!$D$2:$D$19, 0)), 0)</f>
        <v>0.29775022002530088</v>
      </c>
      <c r="E12">
        <f>IFERROR(IF(_xlfn.XLOOKUP(B12, ①オッズ入力!$A$2:$A$19, ①オッズ入力!$D$2:$D$19, "")="", 0, _xlfn.XLOOKUP(B12, ①オッズ入力!$A$2:$A$19, ①オッズ入力!$D$2:$D$19, 0)), 0)</f>
        <v>0.19850014668353391</v>
      </c>
      <c r="F12">
        <f>IFERROR(IF(_xlfn.XLOOKUP(C12, ①オッズ入力!$A$2:$A$19, ①オッズ入力!$D$2:$D$19, "")="", 0, _xlfn.XLOOKUP(C12, ①オッズ入力!$A$2:$A$19, ①オッズ入力!$D$2:$D$19, 0)), 0)</f>
        <v>1.2760723715370036E-2</v>
      </c>
      <c r="G12">
        <f t="shared" si="0"/>
        <v>1325.9030545193066</v>
      </c>
      <c r="H12">
        <f>IF(G12="", 0, IF(OR(A12=③資金配分!$D$1, A12=③資金配分!$D$2, B12=③資金配分!$D$1, B12=③資金配分!$D$2, C12=③資金配分!$D$1, C12=③資金配分!$D$2), 0, IF(OR(A12=③資金配分!$D$4, A12=③資金配分!$D$5, A12=③資金配分!$D$6, B12=③資金配分!$D$4, B12=③資金配分!$D$5, B12=③資金配分!$D$6, C12=③資金配分!$D$4, C12=③資金配分!$D$5, C12=③資金配分!$D$6), 0, IF(AND(③資金配分!$B$8&gt;0, G12&lt;=③資金配分!$B$8), 1, 0))))</f>
        <v>0</v>
      </c>
      <c r="I12">
        <f t="shared" si="1"/>
        <v>0</v>
      </c>
      <c r="J12">
        <f>IF(I12&gt;0, ROUND((I12 / SUM($I$2:$I$817)) * ③資金配分!$B$7, -2), 0)</f>
        <v>0</v>
      </c>
    </row>
    <row r="13" spans="1:12" x14ac:dyDescent="0.4">
      <c r="A13">
        <v>1</v>
      </c>
      <c r="B13">
        <v>2</v>
      </c>
      <c r="C13">
        <v>14</v>
      </c>
      <c r="D13">
        <f>IFERROR(IF(_xlfn.XLOOKUP(A13, ①オッズ入力!$A$2:$A$19, ①オッズ入力!$D$2:$D$19, "")="", 0, _xlfn.XLOOKUP(A13, ①オッズ入力!$A$2:$A$19, ①オッズ入力!$D$2:$D$19, 0)), 0)</f>
        <v>0.29775022002530088</v>
      </c>
      <c r="E13">
        <f>IFERROR(IF(_xlfn.XLOOKUP(B13, ①オッズ入力!$A$2:$A$19, ①オッズ入力!$D$2:$D$19, "")="", 0, _xlfn.XLOOKUP(B13, ①オッズ入力!$A$2:$A$19, ①オッズ入力!$D$2:$D$19, 0)), 0)</f>
        <v>0.19850014668353391</v>
      </c>
      <c r="F13">
        <f>IFERROR(IF(_xlfn.XLOOKUP(C13, ①オッズ入力!$A$2:$A$19, ①オッズ入力!$D$2:$D$19, "")="", 0, _xlfn.XLOOKUP(C13, ①オッズ入力!$A$2:$A$19, ①オッズ入力!$D$2:$D$19, 0)), 0)</f>
        <v>1.1525814968721322E-2</v>
      </c>
      <c r="G13">
        <f t="shared" si="0"/>
        <v>1467.9640960749468</v>
      </c>
      <c r="H13">
        <f>IF(G13="", 0, IF(OR(A13=③資金配分!$D$1, A13=③資金配分!$D$2, B13=③資金配分!$D$1, B13=③資金配分!$D$2, C13=③資金配分!$D$1, C13=③資金配分!$D$2), 0, IF(OR(A13=③資金配分!$D$4, A13=③資金配分!$D$5, A13=③資金配分!$D$6, B13=③資金配分!$D$4, B13=③資金配分!$D$5, B13=③資金配分!$D$6, C13=③資金配分!$D$4, C13=③資金配分!$D$5, C13=③資金配分!$D$6), 0, IF(AND(③資金配分!$B$8&gt;0, G13&lt;=③資金配分!$B$8), 1, 0))))</f>
        <v>0</v>
      </c>
      <c r="I13">
        <f t="shared" si="1"/>
        <v>0</v>
      </c>
      <c r="J13">
        <f>IF(I13&gt;0, ROUND((I13 / SUM($I$2:$I$817)) * ③資金配分!$B$7, -2), 0)</f>
        <v>0</v>
      </c>
    </row>
    <row r="14" spans="1:12" x14ac:dyDescent="0.4">
      <c r="A14">
        <v>1</v>
      </c>
      <c r="B14">
        <v>2</v>
      </c>
      <c r="C14">
        <v>15</v>
      </c>
      <c r="D14">
        <f>IFERROR(IF(_xlfn.XLOOKUP(A14, ①オッズ入力!$A$2:$A$19, ①オッズ入力!$D$2:$D$19, "")="", 0, _xlfn.XLOOKUP(A14, ①オッズ入力!$A$2:$A$19, ①オッズ入力!$D$2:$D$19, 0)), 0)</f>
        <v>0.29775022002530088</v>
      </c>
      <c r="E14">
        <f>IFERROR(IF(_xlfn.XLOOKUP(B14, ①オッズ入力!$A$2:$A$19, ①オッズ入力!$D$2:$D$19, "")="", 0, _xlfn.XLOOKUP(B14, ①オッズ入力!$A$2:$A$19, ①オッズ入力!$D$2:$D$19, 0)), 0)</f>
        <v>0.19850014668353391</v>
      </c>
      <c r="F14">
        <f>IFERROR(IF(_xlfn.XLOOKUP(C14, ①オッズ入力!$A$2:$A$19, ①オッズ入力!$D$2:$D$19, "")="", 0, _xlfn.XLOOKUP(C14, ①オッズ入力!$A$2:$A$19, ①オッズ入力!$D$2:$D$19, 0)), 0)</f>
        <v>1.0697612695519792E-2</v>
      </c>
      <c r="G14">
        <f t="shared" si="0"/>
        <v>1581.6129293194585</v>
      </c>
      <c r="H14">
        <f>IF(G14="", 0, IF(OR(A14=③資金配分!$D$1, A14=③資金配分!$D$2, B14=③資金配分!$D$1, B14=③資金配分!$D$2, C14=③資金配分!$D$1, C14=③資金配分!$D$2), 0, IF(OR(A14=③資金配分!$D$4, A14=③資金配分!$D$5, A14=③資金配分!$D$6, B14=③資金配分!$D$4, B14=③資金配分!$D$5, B14=③資金配分!$D$6, C14=③資金配分!$D$4, C14=③資金配分!$D$5, C14=③資金配分!$D$6), 0, IF(AND(③資金配分!$B$8&gt;0, G14&lt;=③資金配分!$B$8), 1, 0))))</f>
        <v>0</v>
      </c>
      <c r="I14">
        <f t="shared" si="1"/>
        <v>0</v>
      </c>
      <c r="J14">
        <f>IF(I14&gt;0, ROUND((I14 / SUM($I$2:$I$817)) * ③資金配分!$B$7, -2), 0)</f>
        <v>0</v>
      </c>
    </row>
    <row r="15" spans="1:12" x14ac:dyDescent="0.4">
      <c r="A15">
        <v>1</v>
      </c>
      <c r="B15">
        <v>2</v>
      </c>
      <c r="C15">
        <v>16</v>
      </c>
      <c r="D15">
        <f>IFERROR(IF(_xlfn.XLOOKUP(A15, ①オッズ入力!$A$2:$A$19, ①オッズ入力!$D$2:$D$19, "")="", 0, _xlfn.XLOOKUP(A15, ①オッズ入力!$A$2:$A$19, ①オッズ入力!$D$2:$D$19, 0)), 0)</f>
        <v>0.29775022002530088</v>
      </c>
      <c r="E15">
        <f>IFERROR(IF(_xlfn.XLOOKUP(B15, ①オッズ入力!$A$2:$A$19, ①オッズ入力!$D$2:$D$19, "")="", 0, _xlfn.XLOOKUP(B15, ①オッズ入力!$A$2:$A$19, ①オッズ入力!$D$2:$D$19, 0)), 0)</f>
        <v>0.19850014668353391</v>
      </c>
      <c r="F15">
        <f>IFERROR(IF(_xlfn.XLOOKUP(C15, ①オッズ入力!$A$2:$A$19, ①オッズ入力!$D$2:$D$19, "")="", 0, _xlfn.XLOOKUP(C15, ①オッズ入力!$A$2:$A$19, ①オッズ入力!$D$2:$D$19, 0)), 0)</f>
        <v>9.8701730395127345E-3</v>
      </c>
      <c r="G15">
        <f t="shared" si="0"/>
        <v>1714.2032347713894</v>
      </c>
      <c r="H15">
        <f>IF(G15="", 0, IF(OR(A15=③資金配分!$D$1, A15=③資金配分!$D$2, B15=③資金配分!$D$1, B15=③資金配分!$D$2, C15=③資金配分!$D$1, C15=③資金配分!$D$2), 0, IF(OR(A15=③資金配分!$D$4, A15=③資金配分!$D$5, A15=③資金配分!$D$6, B15=③資金配分!$D$4, B15=③資金配分!$D$5, B15=③資金配分!$D$6, C15=③資金配分!$D$4, C15=③資金配分!$D$5, C15=③資金配分!$D$6), 0, IF(AND(③資金配分!$B$8&gt;0, G15&lt;=③資金配分!$B$8), 1, 0))))</f>
        <v>0</v>
      </c>
      <c r="I15">
        <f t="shared" si="1"/>
        <v>0</v>
      </c>
      <c r="J15">
        <f>IF(I15&gt;0, ROUND((I15 / SUM($I$2:$I$817)) * ③資金配分!$B$7, -2), 0)</f>
        <v>0</v>
      </c>
    </row>
    <row r="16" spans="1:12" x14ac:dyDescent="0.4">
      <c r="A16">
        <v>1</v>
      </c>
      <c r="B16">
        <v>2</v>
      </c>
      <c r="C16">
        <v>17</v>
      </c>
      <c r="D16">
        <f>IFERROR(IF(_xlfn.XLOOKUP(A16, ①オッズ入力!$A$2:$A$19, ①オッズ入力!$D$2:$D$19, "")="", 0, _xlfn.XLOOKUP(A16, ①オッズ入力!$A$2:$A$19, ①オッズ入力!$D$2:$D$19, 0)), 0)</f>
        <v>0.29775022002530088</v>
      </c>
      <c r="E16">
        <f>IFERROR(IF(_xlfn.XLOOKUP(B16, ①オッズ入力!$A$2:$A$19, ①オッズ入力!$D$2:$D$19, "")="", 0, _xlfn.XLOOKUP(B16, ①オッズ入力!$A$2:$A$19, ①オッズ入力!$D$2:$D$19, 0)), 0)</f>
        <v>0.19850014668353391</v>
      </c>
      <c r="F16">
        <f>IFERROR(IF(_xlfn.XLOOKUP(C16, ①オッズ入力!$A$2:$A$19, ①オッズ入力!$D$2:$D$19, "")="", 0, _xlfn.XLOOKUP(C16, ①オッズ入力!$A$2:$A$19, ①オッズ入力!$D$2:$D$19, 0)), 0)</f>
        <v>9.1615452315477186E-3</v>
      </c>
      <c r="G16">
        <f t="shared" si="0"/>
        <v>1846.79354022332</v>
      </c>
      <c r="H16">
        <f>IF(G16="", 0, IF(OR(A16=③資金配分!$D$1, A16=③資金配分!$D$2, B16=③資金配分!$D$1, B16=③資金配分!$D$2, C16=③資金配分!$D$1, C16=③資金配分!$D$2), 0, IF(OR(A16=③資金配分!$D$4, A16=③資金配分!$D$5, A16=③資金配分!$D$6, B16=③資金配分!$D$4, B16=③資金配分!$D$5, B16=③資金配分!$D$6, C16=③資金配分!$D$4, C16=③資金配分!$D$5, C16=③資金配分!$D$6), 0, IF(AND(③資金配分!$B$8&gt;0, G16&lt;=③資金配分!$B$8), 1, 0))))</f>
        <v>0</v>
      </c>
      <c r="I16">
        <f t="shared" si="1"/>
        <v>0</v>
      </c>
      <c r="J16">
        <f>IF(I16&gt;0, ROUND((I16 / SUM($I$2:$I$817)) * ③資金配分!$B$7, -2), 0)</f>
        <v>0</v>
      </c>
    </row>
    <row r="17" spans="1:10" x14ac:dyDescent="0.4">
      <c r="A17">
        <v>1</v>
      </c>
      <c r="B17">
        <v>2</v>
      </c>
      <c r="C17">
        <v>18</v>
      </c>
      <c r="D17">
        <f>IFERROR(IF(_xlfn.XLOOKUP(A17, ①オッズ入力!$A$2:$A$19, ①オッズ入力!$D$2:$D$19, "")="", 0, _xlfn.XLOOKUP(A17, ①オッズ入力!$A$2:$A$19, ①オッズ入力!$D$2:$D$19, 0)), 0)</f>
        <v>0.29775022002530088</v>
      </c>
      <c r="E17">
        <f>IFERROR(IF(_xlfn.XLOOKUP(B17, ①オッズ入力!$A$2:$A$19, ①オッズ入力!$D$2:$D$19, "")="", 0, _xlfn.XLOOKUP(B17, ①オッズ入力!$A$2:$A$19, ①オッズ入力!$D$2:$D$19, 0)), 0)</f>
        <v>0.19850014668353391</v>
      </c>
      <c r="F17">
        <f>IFERROR(IF(_xlfn.XLOOKUP(C17, ①オッズ入力!$A$2:$A$19, ①オッズ入力!$D$2:$D$19, "")="", 0, _xlfn.XLOOKUP(C17, ①オッズ入力!$A$2:$A$19, ①オッズ入力!$D$2:$D$19, 0)), 0)</f>
        <v>8.5478532064679671E-3</v>
      </c>
      <c r="G17">
        <f t="shared" si="0"/>
        <v>1979.3838456752508</v>
      </c>
      <c r="H17">
        <f>IF(G17="", 0, IF(OR(A17=③資金配分!$D$1, A17=③資金配分!$D$2, B17=③資金配分!$D$1, B17=③資金配分!$D$2, C17=③資金配分!$D$1, C17=③資金配分!$D$2), 0, IF(OR(A17=③資金配分!$D$4, A17=③資金配分!$D$5, A17=③資金配分!$D$6, B17=③資金配分!$D$4, B17=③資金配分!$D$5, B17=③資金配分!$D$6, C17=③資金配分!$D$4, C17=③資金配分!$D$5, C17=③資金配分!$D$6), 0, IF(AND(③資金配分!$B$8&gt;0, G17&lt;=③資金配分!$B$8), 1, 0))))</f>
        <v>0</v>
      </c>
      <c r="I17">
        <f t="shared" si="1"/>
        <v>0</v>
      </c>
      <c r="J17">
        <f>IF(I17&gt;0, ROUND((I17 / SUM($I$2:$I$817)) * ③資金配分!$B$7, -2), 0)</f>
        <v>0</v>
      </c>
    </row>
    <row r="18" spans="1:10" x14ac:dyDescent="0.4">
      <c r="A18">
        <v>1</v>
      </c>
      <c r="B18">
        <v>3</v>
      </c>
      <c r="C18">
        <v>4</v>
      </c>
      <c r="D18">
        <f>IFERROR(IF(_xlfn.XLOOKUP(A18, ①オッズ入力!$A$2:$A$19, ①オッズ入力!$D$2:$D$19, "")="", 0, _xlfn.XLOOKUP(A18, ①オッズ入力!$A$2:$A$19, ①オッズ入力!$D$2:$D$19, 0)), 0)</f>
        <v>0.29775022002530088</v>
      </c>
      <c r="E18">
        <f>IFERROR(IF(_xlfn.XLOOKUP(B18, ①オッズ入力!$A$2:$A$19, ①オッズ入力!$D$2:$D$19, "")="", 0, _xlfn.XLOOKUP(B18, ①オッズ入力!$A$2:$A$19, ①オッズ入力!$D$2:$D$19, 0)), 0)</f>
        <v>0.17014298287160048</v>
      </c>
      <c r="F18">
        <f>IFERROR(IF(_xlfn.XLOOKUP(C18, ①オッズ入力!$A$2:$A$19, ①オッズ入力!$D$2:$D$19, "")="", 0, _xlfn.XLOOKUP(C18, ①オッズ入力!$A$2:$A$19, ①オッズ入力!$D$2:$D$19, 0)), 0)</f>
        <v>7.1460052806072205E-2</v>
      </c>
      <c r="G18">
        <f t="shared" si="0"/>
        <v>276.22980302485553</v>
      </c>
      <c r="H18">
        <f>IF(G18="", 0, IF(OR(A18=③資金配分!$D$1, A18=③資金配分!$D$2, B18=③資金配分!$D$1, B18=③資金配分!$D$2, C18=③資金配分!$D$1, C18=③資金配分!$D$2), 0, IF(OR(A18=③資金配分!$D$4, A18=③資金配分!$D$5, A18=③資金配分!$D$6, B18=③資金配分!$D$4, B18=③資金配分!$D$5, B18=③資金配分!$D$6, C18=③資金配分!$D$4, C18=③資金配分!$D$5, C18=③資金配分!$D$6), 0, IF(AND(③資金配分!$B$8&gt;0, G18&lt;=③資金配分!$B$8), 1, 0))))</f>
        <v>0</v>
      </c>
      <c r="I18">
        <f t="shared" si="1"/>
        <v>0</v>
      </c>
      <c r="J18">
        <f>IF(I18&gt;0, ROUND((I18 / SUM($I$2:$I$817)) * ③資金配分!$B$7, -2), 0)</f>
        <v>0</v>
      </c>
    </row>
    <row r="19" spans="1:10" x14ac:dyDescent="0.4">
      <c r="A19">
        <v>1</v>
      </c>
      <c r="B19">
        <v>3</v>
      </c>
      <c r="C19">
        <v>5</v>
      </c>
      <c r="D19">
        <f>IFERROR(IF(_xlfn.XLOOKUP(A19, ①オッズ入力!$A$2:$A$19, ①オッズ入力!$D$2:$D$19, "")="", 0, _xlfn.XLOOKUP(A19, ①オッズ入力!$A$2:$A$19, ①オッズ入力!$D$2:$D$19, 0)), 0)</f>
        <v>0.29775022002530088</v>
      </c>
      <c r="E19">
        <f>IFERROR(IF(_xlfn.XLOOKUP(B19, ①オッズ入力!$A$2:$A$19, ①オッズ入力!$D$2:$D$19, "")="", 0, _xlfn.XLOOKUP(B19, ①オッズ入力!$A$2:$A$19, ①オッズ入力!$D$2:$D$19, 0)), 0)</f>
        <v>0.17014298287160048</v>
      </c>
      <c r="F19">
        <f>IFERROR(IF(_xlfn.XLOOKUP(C19, ①オッズ入力!$A$2:$A$19, ①オッズ入力!$D$2:$D$19, "")="", 0, _xlfn.XLOOKUP(C19, ①オッズ入力!$A$2:$A$19, ①オッズ入力!$D$2:$D$19, 0)), 0)</f>
        <v>4.4662533003795128E-2</v>
      </c>
      <c r="G19">
        <f t="shared" si="0"/>
        <v>441.96768483976894</v>
      </c>
      <c r="H19">
        <f>IF(G19="", 0, IF(OR(A19=③資金配分!$D$1, A19=③資金配分!$D$2, B19=③資金配分!$D$1, B19=③資金配分!$D$2, C19=③資金配分!$D$1, C19=③資金配分!$D$2), 0, IF(OR(A19=③資金配分!$D$4, A19=③資金配分!$D$5, A19=③資金配分!$D$6, B19=③資金配分!$D$4, B19=③資金配分!$D$5, B19=③資金配分!$D$6, C19=③資金配分!$D$4, C19=③資金配分!$D$5, C19=③資金配分!$D$6), 0, IF(AND(③資金配分!$B$8&gt;0, G19&lt;=③資金配分!$B$8), 1, 0))))</f>
        <v>0</v>
      </c>
      <c r="I19">
        <f t="shared" si="1"/>
        <v>0</v>
      </c>
      <c r="J19">
        <f>IF(I19&gt;0, ROUND((I19 / SUM($I$2:$I$817)) * ③資金配分!$B$7, -2), 0)</f>
        <v>0</v>
      </c>
    </row>
    <row r="20" spans="1:10" x14ac:dyDescent="0.4">
      <c r="A20">
        <v>1</v>
      </c>
      <c r="B20">
        <v>3</v>
      </c>
      <c r="C20">
        <v>6</v>
      </c>
      <c r="D20">
        <f>IFERROR(IF(_xlfn.XLOOKUP(A20, ①オッズ入力!$A$2:$A$19, ①オッズ入力!$D$2:$D$19, "")="", 0, _xlfn.XLOOKUP(A20, ①オッズ入力!$A$2:$A$19, ①オッズ入力!$D$2:$D$19, 0)), 0)</f>
        <v>0.29775022002530088</v>
      </c>
      <c r="E20">
        <f>IFERROR(IF(_xlfn.XLOOKUP(B20, ①オッズ入力!$A$2:$A$19, ①オッズ入力!$D$2:$D$19, "")="", 0, _xlfn.XLOOKUP(B20, ①オッズ入力!$A$2:$A$19, ①オッズ入力!$D$2:$D$19, 0)), 0)</f>
        <v>0.17014298287160048</v>
      </c>
      <c r="F20">
        <f>IFERROR(IF(_xlfn.XLOOKUP(C20, ①オッズ入力!$A$2:$A$19, ①オッズ入力!$D$2:$D$19, "")="", 0, _xlfn.XLOOKUP(C20, ①オッズ入力!$A$2:$A$19, ①オッズ入力!$D$2:$D$19, 0)), 0)</f>
        <v>3.2481842184578273E-2</v>
      </c>
      <c r="G20">
        <f t="shared" si="0"/>
        <v>607.70556665468223</v>
      </c>
      <c r="H20">
        <f>IF(G20="", 0, IF(OR(A20=③資金配分!$D$1, A20=③資金配分!$D$2, B20=③資金配分!$D$1, B20=③資金配分!$D$2, C20=③資金配分!$D$1, C20=③資金配分!$D$2), 0, IF(OR(A20=③資金配分!$D$4, A20=③資金配分!$D$5, A20=③資金配分!$D$6, B20=③資金配分!$D$4, B20=③資金配分!$D$5, B20=③資金配分!$D$6, C20=③資金配分!$D$4, C20=③資金配分!$D$5, C20=③資金配分!$D$6), 0, IF(AND(③資金配分!$B$8&gt;0, G20&lt;=③資金配分!$B$8), 1, 0))))</f>
        <v>0</v>
      </c>
      <c r="I20">
        <f t="shared" si="1"/>
        <v>0</v>
      </c>
      <c r="J20">
        <f>IF(I20&gt;0, ROUND((I20 / SUM($I$2:$I$817)) * ③資金配分!$B$7, -2), 0)</f>
        <v>0</v>
      </c>
    </row>
    <row r="21" spans="1:10" x14ac:dyDescent="0.4">
      <c r="A21">
        <v>1</v>
      </c>
      <c r="B21">
        <v>3</v>
      </c>
      <c r="C21">
        <v>7</v>
      </c>
      <c r="D21">
        <f>IFERROR(IF(_xlfn.XLOOKUP(A21, ①オッズ入力!$A$2:$A$19, ①オッズ入力!$D$2:$D$19, "")="", 0, _xlfn.XLOOKUP(A21, ①オッズ入力!$A$2:$A$19, ①オッズ入力!$D$2:$D$19, 0)), 0)</f>
        <v>0.29775022002530088</v>
      </c>
      <c r="E21">
        <f>IFERROR(IF(_xlfn.XLOOKUP(B21, ①オッズ入力!$A$2:$A$19, ①オッズ入力!$D$2:$D$19, "")="", 0, _xlfn.XLOOKUP(B21, ①オッズ入力!$A$2:$A$19, ①オッズ入力!$D$2:$D$19, 0)), 0)</f>
        <v>0.17014298287160048</v>
      </c>
      <c r="F21">
        <f>IFERROR(IF(_xlfn.XLOOKUP(C21, ①オッズ入力!$A$2:$A$19, ①オッズ入力!$D$2:$D$19, "")="", 0, _xlfn.XLOOKUP(C21, ①オッズ入力!$A$2:$A$19, ①オッズ入力!$D$2:$D$19, 0)), 0)</f>
        <v>2.9775022002530085E-2</v>
      </c>
      <c r="G21">
        <f t="shared" si="0"/>
        <v>662.95152725965329</v>
      </c>
      <c r="H21">
        <f>IF(G21="", 0, IF(OR(A21=③資金配分!$D$1, A21=③資金配分!$D$2, B21=③資金配分!$D$1, B21=③資金配分!$D$2, C21=③資金配分!$D$1, C21=③資金配分!$D$2), 0, IF(OR(A21=③資金配分!$D$4, A21=③資金配分!$D$5, A21=③資金配分!$D$6, B21=③資金配分!$D$4, B21=③資金配分!$D$5, B21=③資金配分!$D$6, C21=③資金配分!$D$4, C21=③資金配分!$D$5, C21=③資金配分!$D$6), 0, IF(AND(③資金配分!$B$8&gt;0, G21&lt;=③資金配分!$B$8), 1, 0))))</f>
        <v>0</v>
      </c>
      <c r="I21">
        <f t="shared" si="1"/>
        <v>0</v>
      </c>
      <c r="J21">
        <f>IF(I21&gt;0, ROUND((I21 / SUM($I$2:$I$817)) * ③資金配分!$B$7, -2), 0)</f>
        <v>0</v>
      </c>
    </row>
    <row r="22" spans="1:10" x14ac:dyDescent="0.4">
      <c r="A22">
        <v>1</v>
      </c>
      <c r="B22">
        <v>3</v>
      </c>
      <c r="C22">
        <v>8</v>
      </c>
      <c r="D22">
        <f>IFERROR(IF(_xlfn.XLOOKUP(A22, ①オッズ入力!$A$2:$A$19, ①オッズ入力!$D$2:$D$19, "")="", 0, _xlfn.XLOOKUP(A22, ①オッズ入力!$A$2:$A$19, ①オッズ入力!$D$2:$D$19, 0)), 0)</f>
        <v>0.29775022002530088</v>
      </c>
      <c r="E22">
        <f>IFERROR(IF(_xlfn.XLOOKUP(B22, ①オッズ入力!$A$2:$A$19, ①オッズ入力!$D$2:$D$19, "")="", 0, _xlfn.XLOOKUP(B22, ①オッズ入力!$A$2:$A$19, ①オッズ入力!$D$2:$D$19, 0)), 0)</f>
        <v>0.17014298287160048</v>
      </c>
      <c r="F22">
        <f>IFERROR(IF(_xlfn.XLOOKUP(C22, ①オッズ入力!$A$2:$A$19, ①オッズ入力!$D$2:$D$19, "")="", 0, _xlfn.XLOOKUP(C22, ①オッズ入力!$A$2:$A$19, ①オッズ入力!$D$2:$D$19, 0)), 0)</f>
        <v>2.3820017602024068E-2</v>
      </c>
      <c r="G22">
        <f t="shared" si="0"/>
        <v>828.6894090745667</v>
      </c>
      <c r="H22">
        <f>IF(G22="", 0, IF(OR(A22=③資金配分!$D$1, A22=③資金配分!$D$2, B22=③資金配分!$D$1, B22=③資金配分!$D$2, C22=③資金配分!$D$1, C22=③資金配分!$D$2), 0, IF(OR(A22=③資金配分!$D$4, A22=③資金配分!$D$5, A22=③資金配分!$D$6, B22=③資金配分!$D$4, B22=③資金配分!$D$5, B22=③資金配分!$D$6, C22=③資金配分!$D$4, C22=③資金配分!$D$5, C22=③資金配分!$D$6), 0, IF(AND(③資金配分!$B$8&gt;0, G22&lt;=③資金配分!$B$8), 1, 0))))</f>
        <v>0</v>
      </c>
      <c r="I22">
        <f t="shared" si="1"/>
        <v>0</v>
      </c>
      <c r="J22">
        <f>IF(I22&gt;0, ROUND((I22 / SUM($I$2:$I$817)) * ③資金配分!$B$7, -2), 0)</f>
        <v>0</v>
      </c>
    </row>
    <row r="23" spans="1:10" x14ac:dyDescent="0.4">
      <c r="A23">
        <v>1</v>
      </c>
      <c r="B23">
        <v>3</v>
      </c>
      <c r="C23">
        <v>9</v>
      </c>
      <c r="D23">
        <f>IFERROR(IF(_xlfn.XLOOKUP(A23, ①オッズ入力!$A$2:$A$19, ①オッズ入力!$D$2:$D$19, "")="", 0, _xlfn.XLOOKUP(A23, ①オッズ入力!$A$2:$A$19, ①オッズ入力!$D$2:$D$19, 0)), 0)</f>
        <v>0.29775022002530088</v>
      </c>
      <c r="E23">
        <f>IFERROR(IF(_xlfn.XLOOKUP(B23, ①オッズ入力!$A$2:$A$19, ①オッズ入力!$D$2:$D$19, "")="", 0, _xlfn.XLOOKUP(B23, ①オッズ入力!$A$2:$A$19, ①オッズ入力!$D$2:$D$19, 0)), 0)</f>
        <v>0.17014298287160048</v>
      </c>
      <c r="F23">
        <f>IFERROR(IF(_xlfn.XLOOKUP(C23, ①オッズ入力!$A$2:$A$19, ①オッズ入力!$D$2:$D$19, "")="", 0, _xlfn.XLOOKUP(C23, ①オッズ入力!$A$2:$A$19, ①オッズ入力!$D$2:$D$19, 0)), 0)</f>
        <v>1.9850014668353389E-2</v>
      </c>
      <c r="G23">
        <f t="shared" si="0"/>
        <v>994.42729088947999</v>
      </c>
      <c r="H23">
        <f>IF(G23="", 0, IF(OR(A23=③資金配分!$D$1, A23=③資金配分!$D$2, B23=③資金配分!$D$1, B23=③資金配分!$D$2, C23=③資金配分!$D$1, C23=③資金配分!$D$2), 0, IF(OR(A23=③資金配分!$D$4, A23=③資金配分!$D$5, A23=③資金配分!$D$6, B23=③資金配分!$D$4, B23=③資金配分!$D$5, B23=③資金配分!$D$6, C23=③資金配分!$D$4, C23=③資金配分!$D$5, C23=③資金配分!$D$6), 0, IF(AND(③資金配分!$B$8&gt;0, G23&lt;=③資金配分!$B$8), 1, 0))))</f>
        <v>0</v>
      </c>
      <c r="I23">
        <f t="shared" si="1"/>
        <v>0</v>
      </c>
      <c r="J23">
        <f>IF(I23&gt;0, ROUND((I23 / SUM($I$2:$I$817)) * ③資金配分!$B$7, -2), 0)</f>
        <v>0</v>
      </c>
    </row>
    <row r="24" spans="1:10" x14ac:dyDescent="0.4">
      <c r="A24">
        <v>1</v>
      </c>
      <c r="B24">
        <v>3</v>
      </c>
      <c r="C24">
        <v>10</v>
      </c>
      <c r="D24">
        <f>IFERROR(IF(_xlfn.XLOOKUP(A24, ①オッズ入力!$A$2:$A$19, ①オッズ入力!$D$2:$D$19, "")="", 0, _xlfn.XLOOKUP(A24, ①オッズ入力!$A$2:$A$19, ①オッズ入力!$D$2:$D$19, 0)), 0)</f>
        <v>0.29775022002530088</v>
      </c>
      <c r="E24">
        <f>IFERROR(IF(_xlfn.XLOOKUP(B24, ①オッズ入力!$A$2:$A$19, ①オッズ入力!$D$2:$D$19, "")="", 0, _xlfn.XLOOKUP(B24, ①オッズ入力!$A$2:$A$19, ①オッズ入力!$D$2:$D$19, 0)), 0)</f>
        <v>0.17014298287160048</v>
      </c>
      <c r="F24">
        <f>IFERROR(IF(_xlfn.XLOOKUP(C24, ①オッズ入力!$A$2:$A$19, ①オッズ入力!$D$2:$D$19, "")="", 0, _xlfn.XLOOKUP(C24, ①オッズ入力!$A$2:$A$19, ①オッズ入力!$D$2:$D$19, 0)), 0)</f>
        <v>1.7865013201518051E-2</v>
      </c>
      <c r="G24">
        <f t="shared" si="0"/>
        <v>1104.9192120994221</v>
      </c>
      <c r="H24">
        <f>IF(G24="", 0, IF(OR(A24=③資金配分!$D$1, A24=③資金配分!$D$2, B24=③資金配分!$D$1, B24=③資金配分!$D$2, C24=③資金配分!$D$1, C24=③資金配分!$D$2), 0, IF(OR(A24=③資金配分!$D$4, A24=③資金配分!$D$5, A24=③資金配分!$D$6, B24=③資金配分!$D$4, B24=③資金配分!$D$5, B24=③資金配分!$D$6, C24=③資金配分!$D$4, C24=③資金配分!$D$5, C24=③資金配分!$D$6), 0, IF(AND(③資金配分!$B$8&gt;0, G24&lt;=③資金配分!$B$8), 1, 0))))</f>
        <v>0</v>
      </c>
      <c r="I24">
        <f t="shared" si="1"/>
        <v>0</v>
      </c>
      <c r="J24">
        <f>IF(I24&gt;0, ROUND((I24 / SUM($I$2:$I$817)) * ③資金配分!$B$7, -2), 0)</f>
        <v>0</v>
      </c>
    </row>
    <row r="25" spans="1:10" x14ac:dyDescent="0.4">
      <c r="A25">
        <v>1</v>
      </c>
      <c r="B25">
        <v>3</v>
      </c>
      <c r="C25">
        <v>11</v>
      </c>
      <c r="D25">
        <f>IFERROR(IF(_xlfn.XLOOKUP(A25, ①オッズ入力!$A$2:$A$19, ①オッズ入力!$D$2:$D$19, "")="", 0, _xlfn.XLOOKUP(A25, ①オッズ入力!$A$2:$A$19, ①オッズ入力!$D$2:$D$19, 0)), 0)</f>
        <v>0.29775022002530088</v>
      </c>
      <c r="E25">
        <f>IFERROR(IF(_xlfn.XLOOKUP(B25, ①オッズ入力!$A$2:$A$19, ①オッズ入力!$D$2:$D$19, "")="", 0, _xlfn.XLOOKUP(B25, ①オッズ入力!$A$2:$A$19, ①オッズ入力!$D$2:$D$19, 0)), 0)</f>
        <v>0.17014298287160048</v>
      </c>
      <c r="F25">
        <f>IFERROR(IF(_xlfn.XLOOKUP(C25, ①オッズ入力!$A$2:$A$19, ①オッズ入力!$D$2:$D$19, "")="", 0, _xlfn.XLOOKUP(C25, ①オッズ入力!$A$2:$A$19, ①オッズ入力!$D$2:$D$19, 0)), 0)</f>
        <v>1.6240921092289137E-2</v>
      </c>
      <c r="G25">
        <f t="shared" si="0"/>
        <v>1215.4111333093645</v>
      </c>
      <c r="H25">
        <f>IF(G25="", 0, IF(OR(A25=③資金配分!$D$1, A25=③資金配分!$D$2, B25=③資金配分!$D$1, B25=③資金配分!$D$2, C25=③資金配分!$D$1, C25=③資金配分!$D$2), 0, IF(OR(A25=③資金配分!$D$4, A25=③資金配分!$D$5, A25=③資金配分!$D$6, B25=③資金配分!$D$4, B25=③資金配分!$D$5, B25=③資金配分!$D$6, C25=③資金配分!$D$4, C25=③資金配分!$D$5, C25=③資金配分!$D$6), 0, IF(AND(③資金配分!$B$8&gt;0, G25&lt;=③資金配分!$B$8), 1, 0))))</f>
        <v>0</v>
      </c>
      <c r="I25">
        <f t="shared" si="1"/>
        <v>0</v>
      </c>
      <c r="J25">
        <f>IF(I25&gt;0, ROUND((I25 / SUM($I$2:$I$817)) * ③資金配分!$B$7, -2), 0)</f>
        <v>0</v>
      </c>
    </row>
    <row r="26" spans="1:10" x14ac:dyDescent="0.4">
      <c r="A26">
        <v>1</v>
      </c>
      <c r="B26">
        <v>3</v>
      </c>
      <c r="C26">
        <v>12</v>
      </c>
      <c r="D26">
        <f>IFERROR(IF(_xlfn.XLOOKUP(A26, ①オッズ入力!$A$2:$A$19, ①オッズ入力!$D$2:$D$19, "")="", 0, _xlfn.XLOOKUP(A26, ①オッズ入力!$A$2:$A$19, ①オッズ入力!$D$2:$D$19, 0)), 0)</f>
        <v>0.29775022002530088</v>
      </c>
      <c r="E26">
        <f>IFERROR(IF(_xlfn.XLOOKUP(B26, ①オッズ入力!$A$2:$A$19, ①オッズ入力!$D$2:$D$19, "")="", 0, _xlfn.XLOOKUP(B26, ①オッズ入力!$A$2:$A$19, ①オッズ入力!$D$2:$D$19, 0)), 0)</f>
        <v>0.17014298287160048</v>
      </c>
      <c r="F26">
        <f>IFERROR(IF(_xlfn.XLOOKUP(C26, ①オッズ入力!$A$2:$A$19, ①オッズ入力!$D$2:$D$19, "")="", 0, _xlfn.XLOOKUP(C26, ①オッズ入力!$A$2:$A$19, ①オッズ入力!$D$2:$D$19, 0)), 0)</f>
        <v>1.4887511001265043E-2</v>
      </c>
      <c r="G26">
        <f t="shared" si="0"/>
        <v>1325.9030545193066</v>
      </c>
      <c r="H26">
        <f>IF(G26="", 0, IF(OR(A26=③資金配分!$D$1, A26=③資金配分!$D$2, B26=③資金配分!$D$1, B26=③資金配分!$D$2, C26=③資金配分!$D$1, C26=③資金配分!$D$2), 0, IF(OR(A26=③資金配分!$D$4, A26=③資金配分!$D$5, A26=③資金配分!$D$6, B26=③資金配分!$D$4, B26=③資金配分!$D$5, B26=③資金配分!$D$6, C26=③資金配分!$D$4, C26=③資金配分!$D$5, C26=③資金配分!$D$6), 0, IF(AND(③資金配分!$B$8&gt;0, G26&lt;=③資金配分!$B$8), 1, 0))))</f>
        <v>0</v>
      </c>
      <c r="I26">
        <f t="shared" si="1"/>
        <v>0</v>
      </c>
      <c r="J26">
        <f>IF(I26&gt;0, ROUND((I26 / SUM($I$2:$I$817)) * ③資金配分!$B$7, -2), 0)</f>
        <v>0</v>
      </c>
    </row>
    <row r="27" spans="1:10" x14ac:dyDescent="0.4">
      <c r="A27">
        <v>1</v>
      </c>
      <c r="B27">
        <v>3</v>
      </c>
      <c r="C27">
        <v>13</v>
      </c>
      <c r="D27">
        <f>IFERROR(IF(_xlfn.XLOOKUP(A27, ①オッズ入力!$A$2:$A$19, ①オッズ入力!$D$2:$D$19, "")="", 0, _xlfn.XLOOKUP(A27, ①オッズ入力!$A$2:$A$19, ①オッズ入力!$D$2:$D$19, 0)), 0)</f>
        <v>0.29775022002530088</v>
      </c>
      <c r="E27">
        <f>IFERROR(IF(_xlfn.XLOOKUP(B27, ①オッズ入力!$A$2:$A$19, ①オッズ入力!$D$2:$D$19, "")="", 0, _xlfn.XLOOKUP(B27, ①オッズ入力!$A$2:$A$19, ①オッズ入力!$D$2:$D$19, 0)), 0)</f>
        <v>0.17014298287160048</v>
      </c>
      <c r="F27">
        <f>IFERROR(IF(_xlfn.XLOOKUP(C27, ①オッズ入力!$A$2:$A$19, ①オッズ入力!$D$2:$D$19, "")="", 0, _xlfn.XLOOKUP(C27, ①オッズ入力!$A$2:$A$19, ①オッズ入力!$D$2:$D$19, 0)), 0)</f>
        <v>1.2760723715370036E-2</v>
      </c>
      <c r="G27">
        <f t="shared" si="0"/>
        <v>1546.8868969391913</v>
      </c>
      <c r="H27">
        <f>IF(G27="", 0, IF(OR(A27=③資金配分!$D$1, A27=③資金配分!$D$2, B27=③資金配分!$D$1, B27=③資金配分!$D$2, C27=③資金配分!$D$1, C27=③資金配分!$D$2), 0, IF(OR(A27=③資金配分!$D$4, A27=③資金配分!$D$5, A27=③資金配分!$D$6, B27=③資金配分!$D$4, B27=③資金配分!$D$5, B27=③資金配分!$D$6, C27=③資金配分!$D$4, C27=③資金配分!$D$5, C27=③資金配分!$D$6), 0, IF(AND(③資金配分!$B$8&gt;0, G27&lt;=③資金配分!$B$8), 1, 0))))</f>
        <v>0</v>
      </c>
      <c r="I27">
        <f t="shared" si="1"/>
        <v>0</v>
      </c>
      <c r="J27">
        <f>IF(I27&gt;0, ROUND((I27 / SUM($I$2:$I$817)) * ③資金配分!$B$7, -2), 0)</f>
        <v>0</v>
      </c>
    </row>
    <row r="28" spans="1:10" x14ac:dyDescent="0.4">
      <c r="A28">
        <v>1</v>
      </c>
      <c r="B28">
        <v>3</v>
      </c>
      <c r="C28">
        <v>14</v>
      </c>
      <c r="D28">
        <f>IFERROR(IF(_xlfn.XLOOKUP(A28, ①オッズ入力!$A$2:$A$19, ①オッズ入力!$D$2:$D$19, "")="", 0, _xlfn.XLOOKUP(A28, ①オッズ入力!$A$2:$A$19, ①オッズ入力!$D$2:$D$19, 0)), 0)</f>
        <v>0.29775022002530088</v>
      </c>
      <c r="E28">
        <f>IFERROR(IF(_xlfn.XLOOKUP(B28, ①オッズ入力!$A$2:$A$19, ①オッズ入力!$D$2:$D$19, "")="", 0, _xlfn.XLOOKUP(B28, ①オッズ入力!$A$2:$A$19, ①オッズ入力!$D$2:$D$19, 0)), 0)</f>
        <v>0.17014298287160048</v>
      </c>
      <c r="F28">
        <f>IFERROR(IF(_xlfn.XLOOKUP(C28, ①オッズ入力!$A$2:$A$19, ①オッズ入力!$D$2:$D$19, "")="", 0, _xlfn.XLOOKUP(C28, ①オッズ入力!$A$2:$A$19, ①オッズ入力!$D$2:$D$19, 0)), 0)</f>
        <v>1.1525814968721322E-2</v>
      </c>
      <c r="G28">
        <f t="shared" si="0"/>
        <v>1712.6247787541047</v>
      </c>
      <c r="H28">
        <f>IF(G28="", 0, IF(OR(A28=③資金配分!$D$1, A28=③資金配分!$D$2, B28=③資金配分!$D$1, B28=③資金配分!$D$2, C28=③資金配分!$D$1, C28=③資金配分!$D$2), 0, IF(OR(A28=③資金配分!$D$4, A28=③資金配分!$D$5, A28=③資金配分!$D$6, B28=③資金配分!$D$4, B28=③資金配分!$D$5, B28=③資金配分!$D$6, C28=③資金配分!$D$4, C28=③資金配分!$D$5, C28=③資金配分!$D$6), 0, IF(AND(③資金配分!$B$8&gt;0, G28&lt;=③資金配分!$B$8), 1, 0))))</f>
        <v>0</v>
      </c>
      <c r="I28">
        <f t="shared" si="1"/>
        <v>0</v>
      </c>
      <c r="J28">
        <f>IF(I28&gt;0, ROUND((I28 / SUM($I$2:$I$817)) * ③資金配分!$B$7, -2), 0)</f>
        <v>0</v>
      </c>
    </row>
    <row r="29" spans="1:10" x14ac:dyDescent="0.4">
      <c r="A29">
        <v>1</v>
      </c>
      <c r="B29">
        <v>3</v>
      </c>
      <c r="C29">
        <v>15</v>
      </c>
      <c r="D29">
        <f>IFERROR(IF(_xlfn.XLOOKUP(A29, ①オッズ入力!$A$2:$A$19, ①オッズ入力!$D$2:$D$19, "")="", 0, _xlfn.XLOOKUP(A29, ①オッズ入力!$A$2:$A$19, ①オッズ入力!$D$2:$D$19, 0)), 0)</f>
        <v>0.29775022002530088</v>
      </c>
      <c r="E29">
        <f>IFERROR(IF(_xlfn.XLOOKUP(B29, ①オッズ入力!$A$2:$A$19, ①オッズ入力!$D$2:$D$19, "")="", 0, _xlfn.XLOOKUP(B29, ①オッズ入力!$A$2:$A$19, ①オッズ入力!$D$2:$D$19, 0)), 0)</f>
        <v>0.17014298287160048</v>
      </c>
      <c r="F29">
        <f>IFERROR(IF(_xlfn.XLOOKUP(C29, ①オッズ入力!$A$2:$A$19, ①オッズ入力!$D$2:$D$19, "")="", 0, _xlfn.XLOOKUP(C29, ①オッズ入力!$A$2:$A$19, ①オッズ入力!$D$2:$D$19, 0)), 0)</f>
        <v>1.0697612695519792E-2</v>
      </c>
      <c r="G29">
        <f t="shared" si="0"/>
        <v>1845.215084206035</v>
      </c>
      <c r="H29">
        <f>IF(G29="", 0, IF(OR(A29=③資金配分!$D$1, A29=③資金配分!$D$2, B29=③資金配分!$D$1, B29=③資金配分!$D$2, C29=③資金配分!$D$1, C29=③資金配分!$D$2), 0, IF(OR(A29=③資金配分!$D$4, A29=③資金配分!$D$5, A29=③資金配分!$D$6, B29=③資金配分!$D$4, B29=③資金配分!$D$5, B29=③資金配分!$D$6, C29=③資金配分!$D$4, C29=③資金配分!$D$5, C29=③資金配分!$D$6), 0, IF(AND(③資金配分!$B$8&gt;0, G29&lt;=③資金配分!$B$8), 1, 0))))</f>
        <v>0</v>
      </c>
      <c r="I29">
        <f t="shared" si="1"/>
        <v>0</v>
      </c>
      <c r="J29">
        <f>IF(I29&gt;0, ROUND((I29 / SUM($I$2:$I$817)) * ③資金配分!$B$7, -2), 0)</f>
        <v>0</v>
      </c>
    </row>
    <row r="30" spans="1:10" x14ac:dyDescent="0.4">
      <c r="A30">
        <v>1</v>
      </c>
      <c r="B30">
        <v>3</v>
      </c>
      <c r="C30">
        <v>16</v>
      </c>
      <c r="D30">
        <f>IFERROR(IF(_xlfn.XLOOKUP(A30, ①オッズ入力!$A$2:$A$19, ①オッズ入力!$D$2:$D$19, "")="", 0, _xlfn.XLOOKUP(A30, ①オッズ入力!$A$2:$A$19, ①オッズ入力!$D$2:$D$19, 0)), 0)</f>
        <v>0.29775022002530088</v>
      </c>
      <c r="E30">
        <f>IFERROR(IF(_xlfn.XLOOKUP(B30, ①オッズ入力!$A$2:$A$19, ①オッズ入力!$D$2:$D$19, "")="", 0, _xlfn.XLOOKUP(B30, ①オッズ入力!$A$2:$A$19, ①オッズ入力!$D$2:$D$19, 0)), 0)</f>
        <v>0.17014298287160048</v>
      </c>
      <c r="F30">
        <f>IFERROR(IF(_xlfn.XLOOKUP(C30, ①オッズ入力!$A$2:$A$19, ①オッズ入力!$D$2:$D$19, "")="", 0, _xlfn.XLOOKUP(C30, ①オッズ入力!$A$2:$A$19, ①オッズ入力!$D$2:$D$19, 0)), 0)</f>
        <v>9.8701730395127345E-3</v>
      </c>
      <c r="G30">
        <f t="shared" si="0"/>
        <v>1999.9037738999543</v>
      </c>
      <c r="H30">
        <f>IF(G30="", 0, IF(OR(A30=③資金配分!$D$1, A30=③資金配分!$D$2, B30=③資金配分!$D$1, B30=③資金配分!$D$2, C30=③資金配分!$D$1, C30=③資金配分!$D$2), 0, IF(OR(A30=③資金配分!$D$4, A30=③資金配分!$D$5, A30=③資金配分!$D$6, B30=③資金配分!$D$4, B30=③資金配分!$D$5, B30=③資金配分!$D$6, C30=③資金配分!$D$4, C30=③資金配分!$D$5, C30=③資金配分!$D$6), 0, IF(AND(③資金配分!$B$8&gt;0, G30&lt;=③資金配分!$B$8), 1, 0))))</f>
        <v>0</v>
      </c>
      <c r="I30">
        <f t="shared" si="1"/>
        <v>0</v>
      </c>
      <c r="J30">
        <f>IF(I30&gt;0, ROUND((I30 / SUM($I$2:$I$817)) * ③資金配分!$B$7, -2), 0)</f>
        <v>0</v>
      </c>
    </row>
    <row r="31" spans="1:10" x14ac:dyDescent="0.4">
      <c r="A31">
        <v>1</v>
      </c>
      <c r="B31">
        <v>3</v>
      </c>
      <c r="C31">
        <v>17</v>
      </c>
      <c r="D31">
        <f>IFERROR(IF(_xlfn.XLOOKUP(A31, ①オッズ入力!$A$2:$A$19, ①オッズ入力!$D$2:$D$19, "")="", 0, _xlfn.XLOOKUP(A31, ①オッズ入力!$A$2:$A$19, ①オッズ入力!$D$2:$D$19, 0)), 0)</f>
        <v>0.29775022002530088</v>
      </c>
      <c r="E31">
        <f>IFERROR(IF(_xlfn.XLOOKUP(B31, ①オッズ入力!$A$2:$A$19, ①オッズ入力!$D$2:$D$19, "")="", 0, _xlfn.XLOOKUP(B31, ①オッズ入力!$A$2:$A$19, ①オッズ入力!$D$2:$D$19, 0)), 0)</f>
        <v>0.17014298287160048</v>
      </c>
      <c r="F31">
        <f>IFERROR(IF(_xlfn.XLOOKUP(C31, ①オッズ入力!$A$2:$A$19, ①オッズ入力!$D$2:$D$19, "")="", 0, _xlfn.XLOOKUP(C31, ①オッズ入力!$A$2:$A$19, ①オッズ入力!$D$2:$D$19, 0)), 0)</f>
        <v>9.1615452315477186E-3</v>
      </c>
      <c r="G31">
        <f t="shared" si="0"/>
        <v>2154.5924635938732</v>
      </c>
      <c r="H31">
        <f>IF(G31="", 0, IF(OR(A31=③資金配分!$D$1, A31=③資金配分!$D$2, B31=③資金配分!$D$1, B31=③資金配分!$D$2, C31=③資金配分!$D$1, C31=③資金配分!$D$2), 0, IF(OR(A31=③資金配分!$D$4, A31=③資金配分!$D$5, A31=③資金配分!$D$6, B31=③資金配分!$D$4, B31=③資金配分!$D$5, B31=③資金配分!$D$6, C31=③資金配分!$D$4, C31=③資金配分!$D$5, C31=③資金配分!$D$6), 0, IF(AND(③資金配分!$B$8&gt;0, G31&lt;=③資金配分!$B$8), 1, 0))))</f>
        <v>0</v>
      </c>
      <c r="I31">
        <f t="shared" si="1"/>
        <v>0</v>
      </c>
      <c r="J31">
        <f>IF(I31&gt;0, ROUND((I31 / SUM($I$2:$I$817)) * ③資金配分!$B$7, -2), 0)</f>
        <v>0</v>
      </c>
    </row>
    <row r="32" spans="1:10" x14ac:dyDescent="0.4">
      <c r="A32">
        <v>1</v>
      </c>
      <c r="B32">
        <v>3</v>
      </c>
      <c r="C32">
        <v>18</v>
      </c>
      <c r="D32">
        <f>IFERROR(IF(_xlfn.XLOOKUP(A32, ①オッズ入力!$A$2:$A$19, ①オッズ入力!$D$2:$D$19, "")="", 0, _xlfn.XLOOKUP(A32, ①オッズ入力!$A$2:$A$19, ①オッズ入力!$D$2:$D$19, 0)), 0)</f>
        <v>0.29775022002530088</v>
      </c>
      <c r="E32">
        <f>IFERROR(IF(_xlfn.XLOOKUP(B32, ①オッズ入力!$A$2:$A$19, ①オッズ入力!$D$2:$D$19, "")="", 0, _xlfn.XLOOKUP(B32, ①オッズ入力!$A$2:$A$19, ①オッズ入力!$D$2:$D$19, 0)), 0)</f>
        <v>0.17014298287160048</v>
      </c>
      <c r="F32">
        <f>IFERROR(IF(_xlfn.XLOOKUP(C32, ①オッズ入力!$A$2:$A$19, ①オッズ入力!$D$2:$D$19, "")="", 0, _xlfn.XLOOKUP(C32, ①オッズ入力!$A$2:$A$19, ①オッズ入力!$D$2:$D$19, 0)), 0)</f>
        <v>8.5478532064679671E-3</v>
      </c>
      <c r="G32">
        <f t="shared" si="0"/>
        <v>2309.2811532877922</v>
      </c>
      <c r="H32">
        <f>IF(G32="", 0, IF(OR(A32=③資金配分!$D$1, A32=③資金配分!$D$2, B32=③資金配分!$D$1, B32=③資金配分!$D$2, C32=③資金配分!$D$1, C32=③資金配分!$D$2), 0, IF(OR(A32=③資金配分!$D$4, A32=③資金配分!$D$5, A32=③資金配分!$D$6, B32=③資金配分!$D$4, B32=③資金配分!$D$5, B32=③資金配分!$D$6, C32=③資金配分!$D$4, C32=③資金配分!$D$5, C32=③資金配分!$D$6), 0, IF(AND(③資金配分!$B$8&gt;0, G32&lt;=③資金配分!$B$8), 1, 0))))</f>
        <v>0</v>
      </c>
      <c r="I32">
        <f t="shared" si="1"/>
        <v>0</v>
      </c>
      <c r="J32">
        <f>IF(I32&gt;0, ROUND((I32 / SUM($I$2:$I$817)) * ③資金配分!$B$7, -2), 0)</f>
        <v>0</v>
      </c>
    </row>
    <row r="33" spans="1:10" x14ac:dyDescent="0.4">
      <c r="A33">
        <v>1</v>
      </c>
      <c r="B33">
        <v>4</v>
      </c>
      <c r="C33">
        <v>5</v>
      </c>
      <c r="D33">
        <f>IFERROR(IF(_xlfn.XLOOKUP(A33, ①オッズ入力!$A$2:$A$19, ①オッズ入力!$D$2:$D$19, "")="", 0, _xlfn.XLOOKUP(A33, ①オッズ入力!$A$2:$A$19, ①オッズ入力!$D$2:$D$19, 0)), 0)</f>
        <v>0.29775022002530088</v>
      </c>
      <c r="E33">
        <f>IFERROR(IF(_xlfn.XLOOKUP(B33, ①オッズ入力!$A$2:$A$19, ①オッズ入力!$D$2:$D$19, "")="", 0, _xlfn.XLOOKUP(B33, ①オッズ入力!$A$2:$A$19, ①オッズ入力!$D$2:$D$19, 0)), 0)</f>
        <v>7.1460052806072205E-2</v>
      </c>
      <c r="F33">
        <f>IFERROR(IF(_xlfn.XLOOKUP(C33, ①オッズ入力!$A$2:$A$19, ①オッズ入力!$D$2:$D$19, "")="", 0, _xlfn.XLOOKUP(C33, ①オッズ入力!$A$2:$A$19, ①オッズ入力!$D$2:$D$19, 0)), 0)</f>
        <v>4.4662533003795128E-2</v>
      </c>
      <c r="G33">
        <f t="shared" si="0"/>
        <v>1052.3040115232593</v>
      </c>
      <c r="H33">
        <f>IF(G33="", 0, IF(OR(A33=③資金配分!$D$1, A33=③資金配分!$D$2, B33=③資金配分!$D$1, B33=③資金配分!$D$2, C33=③資金配分!$D$1, C33=③資金配分!$D$2), 0, IF(OR(A33=③資金配分!$D$4, A33=③資金配分!$D$5, A33=③資金配分!$D$6, B33=③資金配分!$D$4, B33=③資金配分!$D$5, B33=③資金配分!$D$6, C33=③資金配分!$D$4, C33=③資金配分!$D$5, C33=③資金配分!$D$6), 0, IF(AND(③資金配分!$B$8&gt;0, G33&lt;=③資金配分!$B$8), 1, 0))))</f>
        <v>0</v>
      </c>
      <c r="I33">
        <f t="shared" si="1"/>
        <v>0</v>
      </c>
      <c r="J33">
        <f>IF(I33&gt;0, ROUND((I33 / SUM($I$2:$I$817)) * ③資金配分!$B$7, -2), 0)</f>
        <v>0</v>
      </c>
    </row>
    <row r="34" spans="1:10" x14ac:dyDescent="0.4">
      <c r="A34">
        <v>1</v>
      </c>
      <c r="B34">
        <v>4</v>
      </c>
      <c r="C34">
        <v>6</v>
      </c>
      <c r="D34">
        <f>IFERROR(IF(_xlfn.XLOOKUP(A34, ①オッズ入力!$A$2:$A$19, ①オッズ入力!$D$2:$D$19, "")="", 0, _xlfn.XLOOKUP(A34, ①オッズ入力!$A$2:$A$19, ①オッズ入力!$D$2:$D$19, 0)), 0)</f>
        <v>0.29775022002530088</v>
      </c>
      <c r="E34">
        <f>IFERROR(IF(_xlfn.XLOOKUP(B34, ①オッズ入力!$A$2:$A$19, ①オッズ入力!$D$2:$D$19, "")="", 0, _xlfn.XLOOKUP(B34, ①オッズ入力!$A$2:$A$19, ①オッズ入力!$D$2:$D$19, 0)), 0)</f>
        <v>7.1460052806072205E-2</v>
      </c>
      <c r="F34">
        <f>IFERROR(IF(_xlfn.XLOOKUP(C34, ①オッズ入力!$A$2:$A$19, ①オッズ入力!$D$2:$D$19, "")="", 0, _xlfn.XLOOKUP(C34, ①オッズ入力!$A$2:$A$19, ①オッズ入力!$D$2:$D$19, 0)), 0)</f>
        <v>3.2481842184578273E-2</v>
      </c>
      <c r="G34">
        <f t="shared" si="0"/>
        <v>1446.9180158444817</v>
      </c>
      <c r="H34">
        <f>IF(G34="", 0, IF(OR(A34=③資金配分!$D$1, A34=③資金配分!$D$2, B34=③資金配分!$D$1, B34=③資金配分!$D$2, C34=③資金配分!$D$1, C34=③資金配分!$D$2), 0, IF(OR(A34=③資金配分!$D$4, A34=③資金配分!$D$5, A34=③資金配分!$D$6, B34=③資金配分!$D$4, B34=③資金配分!$D$5, B34=③資金配分!$D$6, C34=③資金配分!$D$4, C34=③資金配分!$D$5, C34=③資金配分!$D$6), 0, IF(AND(③資金配分!$B$8&gt;0, G34&lt;=③資金配分!$B$8), 1, 0))))</f>
        <v>0</v>
      </c>
      <c r="I34">
        <f t="shared" si="1"/>
        <v>0</v>
      </c>
      <c r="J34">
        <f>IF(I34&gt;0, ROUND((I34 / SUM($I$2:$I$817)) * ③資金配分!$B$7, -2), 0)</f>
        <v>0</v>
      </c>
    </row>
    <row r="35" spans="1:10" x14ac:dyDescent="0.4">
      <c r="A35">
        <v>1</v>
      </c>
      <c r="B35">
        <v>4</v>
      </c>
      <c r="C35">
        <v>7</v>
      </c>
      <c r="D35">
        <f>IFERROR(IF(_xlfn.XLOOKUP(A35, ①オッズ入力!$A$2:$A$19, ①オッズ入力!$D$2:$D$19, "")="", 0, _xlfn.XLOOKUP(A35, ①オッズ入力!$A$2:$A$19, ①オッズ入力!$D$2:$D$19, 0)), 0)</f>
        <v>0.29775022002530088</v>
      </c>
      <c r="E35">
        <f>IFERROR(IF(_xlfn.XLOOKUP(B35, ①オッズ入力!$A$2:$A$19, ①オッズ入力!$D$2:$D$19, "")="", 0, _xlfn.XLOOKUP(B35, ①オッズ入力!$A$2:$A$19, ①オッズ入力!$D$2:$D$19, 0)), 0)</f>
        <v>7.1460052806072205E-2</v>
      </c>
      <c r="F35">
        <f>IFERROR(IF(_xlfn.XLOOKUP(C35, ①オッズ入力!$A$2:$A$19, ①オッズ入力!$D$2:$D$19, "")="", 0, _xlfn.XLOOKUP(C35, ①オッズ入力!$A$2:$A$19, ①オッズ入力!$D$2:$D$19, 0)), 0)</f>
        <v>2.9775022002530085E-2</v>
      </c>
      <c r="G35">
        <f t="shared" si="0"/>
        <v>1578.456017284889</v>
      </c>
      <c r="H35">
        <f>IF(G35="", 0, IF(OR(A35=③資金配分!$D$1, A35=③資金配分!$D$2, B35=③資金配分!$D$1, B35=③資金配分!$D$2, C35=③資金配分!$D$1, C35=③資金配分!$D$2), 0, IF(OR(A35=③資金配分!$D$4, A35=③資金配分!$D$5, A35=③資金配分!$D$6, B35=③資金配分!$D$4, B35=③資金配分!$D$5, B35=③資金配分!$D$6, C35=③資金配分!$D$4, C35=③資金配分!$D$5, C35=③資金配分!$D$6), 0, IF(AND(③資金配分!$B$8&gt;0, G35&lt;=③資金配分!$B$8), 1, 0))))</f>
        <v>0</v>
      </c>
      <c r="I35">
        <f t="shared" si="1"/>
        <v>0</v>
      </c>
      <c r="J35">
        <f>IF(I35&gt;0, ROUND((I35 / SUM($I$2:$I$817)) * ③資金配分!$B$7, -2), 0)</f>
        <v>0</v>
      </c>
    </row>
    <row r="36" spans="1:10" x14ac:dyDescent="0.4">
      <c r="A36">
        <v>1</v>
      </c>
      <c r="B36">
        <v>4</v>
      </c>
      <c r="C36">
        <v>8</v>
      </c>
      <c r="D36">
        <f>IFERROR(IF(_xlfn.XLOOKUP(A36, ①オッズ入力!$A$2:$A$19, ①オッズ入力!$D$2:$D$19, "")="", 0, _xlfn.XLOOKUP(A36, ①オッズ入力!$A$2:$A$19, ①オッズ入力!$D$2:$D$19, 0)), 0)</f>
        <v>0.29775022002530088</v>
      </c>
      <c r="E36">
        <f>IFERROR(IF(_xlfn.XLOOKUP(B36, ①オッズ入力!$A$2:$A$19, ①オッズ入力!$D$2:$D$19, "")="", 0, _xlfn.XLOOKUP(B36, ①オッズ入力!$A$2:$A$19, ①オッズ入力!$D$2:$D$19, 0)), 0)</f>
        <v>7.1460052806072205E-2</v>
      </c>
      <c r="F36">
        <f>IFERROR(IF(_xlfn.XLOOKUP(C36, ①オッズ入力!$A$2:$A$19, ①オッズ入力!$D$2:$D$19, "")="", 0, _xlfn.XLOOKUP(C36, ①オッズ入力!$A$2:$A$19, ①オッズ入力!$D$2:$D$19, 0)), 0)</f>
        <v>2.3820017602024068E-2</v>
      </c>
      <c r="G36">
        <f t="shared" si="0"/>
        <v>1973.0700216061111</v>
      </c>
      <c r="H36">
        <f>IF(G36="", 0, IF(OR(A36=③資金配分!$D$1, A36=③資金配分!$D$2, B36=③資金配分!$D$1, B36=③資金配分!$D$2, C36=③資金配分!$D$1, C36=③資金配分!$D$2), 0, IF(OR(A36=③資金配分!$D$4, A36=③資金配分!$D$5, A36=③資金配分!$D$6, B36=③資金配分!$D$4, B36=③資金配分!$D$5, B36=③資金配分!$D$6, C36=③資金配分!$D$4, C36=③資金配分!$D$5, C36=③資金配分!$D$6), 0, IF(AND(③資金配分!$B$8&gt;0, G36&lt;=③資金配分!$B$8), 1, 0))))</f>
        <v>0</v>
      </c>
      <c r="I36">
        <f t="shared" si="1"/>
        <v>0</v>
      </c>
      <c r="J36">
        <f>IF(I36&gt;0, ROUND((I36 / SUM($I$2:$I$817)) * ③資金配分!$B$7, -2), 0)</f>
        <v>0</v>
      </c>
    </row>
    <row r="37" spans="1:10" x14ac:dyDescent="0.4">
      <c r="A37">
        <v>1</v>
      </c>
      <c r="B37">
        <v>4</v>
      </c>
      <c r="C37">
        <v>9</v>
      </c>
      <c r="D37">
        <f>IFERROR(IF(_xlfn.XLOOKUP(A37, ①オッズ入力!$A$2:$A$19, ①オッズ入力!$D$2:$D$19, "")="", 0, _xlfn.XLOOKUP(A37, ①オッズ入力!$A$2:$A$19, ①オッズ入力!$D$2:$D$19, 0)), 0)</f>
        <v>0.29775022002530088</v>
      </c>
      <c r="E37">
        <f>IFERROR(IF(_xlfn.XLOOKUP(B37, ①オッズ入力!$A$2:$A$19, ①オッズ入力!$D$2:$D$19, "")="", 0, _xlfn.XLOOKUP(B37, ①オッズ入力!$A$2:$A$19, ①オッズ入力!$D$2:$D$19, 0)), 0)</f>
        <v>7.1460052806072205E-2</v>
      </c>
      <c r="F37">
        <f>IFERROR(IF(_xlfn.XLOOKUP(C37, ①オッズ入力!$A$2:$A$19, ①オッズ入力!$D$2:$D$19, "")="", 0, _xlfn.XLOOKUP(C37, ①オッズ入力!$A$2:$A$19, ①オッズ入力!$D$2:$D$19, 0)), 0)</f>
        <v>1.9850014668353389E-2</v>
      </c>
      <c r="G37">
        <f t="shared" si="0"/>
        <v>2367.6840259273336</v>
      </c>
      <c r="H37">
        <f>IF(G37="", 0, IF(OR(A37=③資金配分!$D$1, A37=③資金配分!$D$2, B37=③資金配分!$D$1, B37=③資金配分!$D$2, C37=③資金配分!$D$1, C37=③資金配分!$D$2), 0, IF(OR(A37=③資金配分!$D$4, A37=③資金配分!$D$5, A37=③資金配分!$D$6, B37=③資金配分!$D$4, B37=③資金配分!$D$5, B37=③資金配分!$D$6, C37=③資金配分!$D$4, C37=③資金配分!$D$5, C37=③資金配分!$D$6), 0, IF(AND(③資金配分!$B$8&gt;0, G37&lt;=③資金配分!$B$8), 1, 0))))</f>
        <v>0</v>
      </c>
      <c r="I37">
        <f t="shared" si="1"/>
        <v>0</v>
      </c>
      <c r="J37">
        <f>IF(I37&gt;0, ROUND((I37 / SUM($I$2:$I$817)) * ③資金配分!$B$7, -2), 0)</f>
        <v>0</v>
      </c>
    </row>
    <row r="38" spans="1:10" x14ac:dyDescent="0.4">
      <c r="A38">
        <v>1</v>
      </c>
      <c r="B38">
        <v>4</v>
      </c>
      <c r="C38">
        <v>10</v>
      </c>
      <c r="D38">
        <f>IFERROR(IF(_xlfn.XLOOKUP(A38, ①オッズ入力!$A$2:$A$19, ①オッズ入力!$D$2:$D$19, "")="", 0, _xlfn.XLOOKUP(A38, ①オッズ入力!$A$2:$A$19, ①オッズ入力!$D$2:$D$19, 0)), 0)</f>
        <v>0.29775022002530088</v>
      </c>
      <c r="E38">
        <f>IFERROR(IF(_xlfn.XLOOKUP(B38, ①オッズ入力!$A$2:$A$19, ①オッズ入力!$D$2:$D$19, "")="", 0, _xlfn.XLOOKUP(B38, ①オッズ入力!$A$2:$A$19, ①オッズ入力!$D$2:$D$19, 0)), 0)</f>
        <v>7.1460052806072205E-2</v>
      </c>
      <c r="F38">
        <f>IFERROR(IF(_xlfn.XLOOKUP(C38, ①オッズ入力!$A$2:$A$19, ①オッズ入力!$D$2:$D$19, "")="", 0, _xlfn.XLOOKUP(C38, ①オッズ入力!$A$2:$A$19, ①オッズ入力!$D$2:$D$19, 0)), 0)</f>
        <v>1.7865013201518051E-2</v>
      </c>
      <c r="G38">
        <f t="shared" si="0"/>
        <v>2630.7600288081485</v>
      </c>
      <c r="H38">
        <f>IF(G38="", 0, IF(OR(A38=③資金配分!$D$1, A38=③資金配分!$D$2, B38=③資金配分!$D$1, B38=③資金配分!$D$2, C38=③資金配分!$D$1, C38=③資金配分!$D$2), 0, IF(OR(A38=③資金配分!$D$4, A38=③資金配分!$D$5, A38=③資金配分!$D$6, B38=③資金配分!$D$4, B38=③資金配分!$D$5, B38=③資金配分!$D$6, C38=③資金配分!$D$4, C38=③資金配分!$D$5, C38=③資金配分!$D$6), 0, IF(AND(③資金配分!$B$8&gt;0, G38&lt;=③資金配分!$B$8), 1, 0))))</f>
        <v>0</v>
      </c>
      <c r="I38">
        <f t="shared" si="1"/>
        <v>0</v>
      </c>
      <c r="J38">
        <f>IF(I38&gt;0, ROUND((I38 / SUM($I$2:$I$817)) * ③資金配分!$B$7, -2), 0)</f>
        <v>0</v>
      </c>
    </row>
    <row r="39" spans="1:10" x14ac:dyDescent="0.4">
      <c r="A39">
        <v>1</v>
      </c>
      <c r="B39">
        <v>4</v>
      </c>
      <c r="C39">
        <v>11</v>
      </c>
      <c r="D39">
        <f>IFERROR(IF(_xlfn.XLOOKUP(A39, ①オッズ入力!$A$2:$A$19, ①オッズ入力!$D$2:$D$19, "")="", 0, _xlfn.XLOOKUP(A39, ①オッズ入力!$A$2:$A$19, ①オッズ入力!$D$2:$D$19, 0)), 0)</f>
        <v>0.29775022002530088</v>
      </c>
      <c r="E39">
        <f>IFERROR(IF(_xlfn.XLOOKUP(B39, ①オッズ入力!$A$2:$A$19, ①オッズ入力!$D$2:$D$19, "")="", 0, _xlfn.XLOOKUP(B39, ①オッズ入力!$A$2:$A$19, ①オッズ入力!$D$2:$D$19, 0)), 0)</f>
        <v>7.1460052806072205E-2</v>
      </c>
      <c r="F39">
        <f>IFERROR(IF(_xlfn.XLOOKUP(C39, ①オッズ入力!$A$2:$A$19, ①オッズ入力!$D$2:$D$19, "")="", 0, _xlfn.XLOOKUP(C39, ①オッズ入力!$A$2:$A$19, ①オッズ入力!$D$2:$D$19, 0)), 0)</f>
        <v>1.6240921092289137E-2</v>
      </c>
      <c r="G39">
        <f t="shared" si="0"/>
        <v>2893.8360316889634</v>
      </c>
      <c r="H39">
        <f>IF(G39="", 0, IF(OR(A39=③資金配分!$D$1, A39=③資金配分!$D$2, B39=③資金配分!$D$1, B39=③資金配分!$D$2, C39=③資金配分!$D$1, C39=③資金配分!$D$2), 0, IF(OR(A39=③資金配分!$D$4, A39=③資金配分!$D$5, A39=③資金配分!$D$6, B39=③資金配分!$D$4, B39=③資金配分!$D$5, B39=③資金配分!$D$6, C39=③資金配分!$D$4, C39=③資金配分!$D$5, C39=③資金配分!$D$6), 0, IF(AND(③資金配分!$B$8&gt;0, G39&lt;=③資金配分!$B$8), 1, 0))))</f>
        <v>0</v>
      </c>
      <c r="I39">
        <f t="shared" si="1"/>
        <v>0</v>
      </c>
      <c r="J39">
        <f>IF(I39&gt;0, ROUND((I39 / SUM($I$2:$I$817)) * ③資金配分!$B$7, -2), 0)</f>
        <v>0</v>
      </c>
    </row>
    <row r="40" spans="1:10" x14ac:dyDescent="0.4">
      <c r="A40">
        <v>1</v>
      </c>
      <c r="B40">
        <v>4</v>
      </c>
      <c r="C40">
        <v>12</v>
      </c>
      <c r="D40">
        <f>IFERROR(IF(_xlfn.XLOOKUP(A40, ①オッズ入力!$A$2:$A$19, ①オッズ入力!$D$2:$D$19, "")="", 0, _xlfn.XLOOKUP(A40, ①オッズ入力!$A$2:$A$19, ①オッズ入力!$D$2:$D$19, 0)), 0)</f>
        <v>0.29775022002530088</v>
      </c>
      <c r="E40">
        <f>IFERROR(IF(_xlfn.XLOOKUP(B40, ①オッズ入力!$A$2:$A$19, ①オッズ入力!$D$2:$D$19, "")="", 0, _xlfn.XLOOKUP(B40, ①オッズ入力!$A$2:$A$19, ①オッズ入力!$D$2:$D$19, 0)), 0)</f>
        <v>7.1460052806072205E-2</v>
      </c>
      <c r="F40">
        <f>IFERROR(IF(_xlfn.XLOOKUP(C40, ①オッズ入力!$A$2:$A$19, ①オッズ入力!$D$2:$D$19, "")="", 0, _xlfn.XLOOKUP(C40, ①オッズ入力!$A$2:$A$19, ①オッズ入力!$D$2:$D$19, 0)), 0)</f>
        <v>1.4887511001265043E-2</v>
      </c>
      <c r="G40">
        <f t="shared" si="0"/>
        <v>3156.9120345697779</v>
      </c>
      <c r="H40">
        <f>IF(G40="", 0, IF(OR(A40=③資金配分!$D$1, A40=③資金配分!$D$2, B40=③資金配分!$D$1, B40=③資金配分!$D$2, C40=③資金配分!$D$1, C40=③資金配分!$D$2), 0, IF(OR(A40=③資金配分!$D$4, A40=③資金配分!$D$5, A40=③資金配分!$D$6, B40=③資金配分!$D$4, B40=③資金配分!$D$5, B40=③資金配分!$D$6, C40=③資金配分!$D$4, C40=③資金配分!$D$5, C40=③資金配分!$D$6), 0, IF(AND(③資金配分!$B$8&gt;0, G40&lt;=③資金配分!$B$8), 1, 0))))</f>
        <v>0</v>
      </c>
      <c r="I40">
        <f t="shared" si="1"/>
        <v>0</v>
      </c>
      <c r="J40">
        <f>IF(I40&gt;0, ROUND((I40 / SUM($I$2:$I$817)) * ③資金配分!$B$7, -2), 0)</f>
        <v>0</v>
      </c>
    </row>
    <row r="41" spans="1:10" x14ac:dyDescent="0.4">
      <c r="A41">
        <v>1</v>
      </c>
      <c r="B41">
        <v>4</v>
      </c>
      <c r="C41">
        <v>13</v>
      </c>
      <c r="D41">
        <f>IFERROR(IF(_xlfn.XLOOKUP(A41, ①オッズ入力!$A$2:$A$19, ①オッズ入力!$D$2:$D$19, "")="", 0, _xlfn.XLOOKUP(A41, ①オッズ入力!$A$2:$A$19, ①オッズ入力!$D$2:$D$19, 0)), 0)</f>
        <v>0.29775022002530088</v>
      </c>
      <c r="E41">
        <f>IFERROR(IF(_xlfn.XLOOKUP(B41, ①オッズ入力!$A$2:$A$19, ①オッズ入力!$D$2:$D$19, "")="", 0, _xlfn.XLOOKUP(B41, ①オッズ入力!$A$2:$A$19, ①オッズ入力!$D$2:$D$19, 0)), 0)</f>
        <v>7.1460052806072205E-2</v>
      </c>
      <c r="F41">
        <f>IFERROR(IF(_xlfn.XLOOKUP(C41, ①オッズ入力!$A$2:$A$19, ①オッズ入力!$D$2:$D$19, "")="", 0, _xlfn.XLOOKUP(C41, ①オッズ入力!$A$2:$A$19, ①オッズ入力!$D$2:$D$19, 0)), 0)</f>
        <v>1.2760723715370036E-2</v>
      </c>
      <c r="G41">
        <f t="shared" si="0"/>
        <v>3683.0640403314083</v>
      </c>
      <c r="H41">
        <f>IF(G41="", 0, IF(OR(A41=③資金配分!$D$1, A41=③資金配分!$D$2, B41=③資金配分!$D$1, B41=③資金配分!$D$2, C41=③資金配分!$D$1, C41=③資金配分!$D$2), 0, IF(OR(A41=③資金配分!$D$4, A41=③資金配分!$D$5, A41=③資金配分!$D$6, B41=③資金配分!$D$4, B41=③資金配分!$D$5, B41=③資金配分!$D$6, C41=③資金配分!$D$4, C41=③資金配分!$D$5, C41=③資金配分!$D$6), 0, IF(AND(③資金配分!$B$8&gt;0, G41&lt;=③資金配分!$B$8), 1, 0))))</f>
        <v>0</v>
      </c>
      <c r="I41">
        <f t="shared" si="1"/>
        <v>0</v>
      </c>
      <c r="J41">
        <f>IF(I41&gt;0, ROUND((I41 / SUM($I$2:$I$817)) * ③資金配分!$B$7, -2), 0)</f>
        <v>0</v>
      </c>
    </row>
    <row r="42" spans="1:10" x14ac:dyDescent="0.4">
      <c r="A42">
        <v>1</v>
      </c>
      <c r="B42">
        <v>4</v>
      </c>
      <c r="C42">
        <v>14</v>
      </c>
      <c r="D42">
        <f>IFERROR(IF(_xlfn.XLOOKUP(A42, ①オッズ入力!$A$2:$A$19, ①オッズ入力!$D$2:$D$19, "")="", 0, _xlfn.XLOOKUP(A42, ①オッズ入力!$A$2:$A$19, ①オッズ入力!$D$2:$D$19, 0)), 0)</f>
        <v>0.29775022002530088</v>
      </c>
      <c r="E42">
        <f>IFERROR(IF(_xlfn.XLOOKUP(B42, ①オッズ入力!$A$2:$A$19, ①オッズ入力!$D$2:$D$19, "")="", 0, _xlfn.XLOOKUP(B42, ①オッズ入力!$A$2:$A$19, ①オッズ入力!$D$2:$D$19, 0)), 0)</f>
        <v>7.1460052806072205E-2</v>
      </c>
      <c r="F42">
        <f>IFERROR(IF(_xlfn.XLOOKUP(C42, ①オッズ入力!$A$2:$A$19, ①オッズ入力!$D$2:$D$19, "")="", 0, _xlfn.XLOOKUP(C42, ①オッズ入力!$A$2:$A$19, ①オッズ入力!$D$2:$D$19, 0)), 0)</f>
        <v>1.1525814968721322E-2</v>
      </c>
      <c r="G42">
        <f t="shared" si="0"/>
        <v>4077.67804465263</v>
      </c>
      <c r="H42">
        <f>IF(G42="", 0, IF(OR(A42=③資金配分!$D$1, A42=③資金配分!$D$2, B42=③資金配分!$D$1, B42=③資金配分!$D$2, C42=③資金配分!$D$1, C42=③資金配分!$D$2), 0, IF(OR(A42=③資金配分!$D$4, A42=③資金配分!$D$5, A42=③資金配分!$D$6, B42=③資金配分!$D$4, B42=③資金配分!$D$5, B42=③資金配分!$D$6, C42=③資金配分!$D$4, C42=③資金配分!$D$5, C42=③資金配分!$D$6), 0, IF(AND(③資金配分!$B$8&gt;0, G42&lt;=③資金配分!$B$8), 1, 0))))</f>
        <v>0</v>
      </c>
      <c r="I42">
        <f t="shared" si="1"/>
        <v>0</v>
      </c>
      <c r="J42">
        <f>IF(I42&gt;0, ROUND((I42 / SUM($I$2:$I$817)) * ③資金配分!$B$7, -2), 0)</f>
        <v>0</v>
      </c>
    </row>
    <row r="43" spans="1:10" x14ac:dyDescent="0.4">
      <c r="A43">
        <v>1</v>
      </c>
      <c r="B43">
        <v>4</v>
      </c>
      <c r="C43">
        <v>15</v>
      </c>
      <c r="D43">
        <f>IFERROR(IF(_xlfn.XLOOKUP(A43, ①オッズ入力!$A$2:$A$19, ①オッズ入力!$D$2:$D$19, "")="", 0, _xlfn.XLOOKUP(A43, ①オッズ入力!$A$2:$A$19, ①オッズ入力!$D$2:$D$19, 0)), 0)</f>
        <v>0.29775022002530088</v>
      </c>
      <c r="E43">
        <f>IFERROR(IF(_xlfn.XLOOKUP(B43, ①オッズ入力!$A$2:$A$19, ①オッズ入力!$D$2:$D$19, "")="", 0, _xlfn.XLOOKUP(B43, ①オッズ入力!$A$2:$A$19, ①オッズ入力!$D$2:$D$19, 0)), 0)</f>
        <v>7.1460052806072205E-2</v>
      </c>
      <c r="F43">
        <f>IFERROR(IF(_xlfn.XLOOKUP(C43, ①オッズ入力!$A$2:$A$19, ①オッズ入力!$D$2:$D$19, "")="", 0, _xlfn.XLOOKUP(C43, ①オッズ入力!$A$2:$A$19, ①オッズ入力!$D$2:$D$19, 0)), 0)</f>
        <v>1.0697612695519792E-2</v>
      </c>
      <c r="G43">
        <f t="shared" si="0"/>
        <v>4393.3692481096077</v>
      </c>
      <c r="H43">
        <f>IF(G43="", 0, IF(OR(A43=③資金配分!$D$1, A43=③資金配分!$D$2, B43=③資金配分!$D$1, B43=③資金配分!$D$2, C43=③資金配分!$D$1, C43=③資金配分!$D$2), 0, IF(OR(A43=③資金配分!$D$4, A43=③資金配分!$D$5, A43=③資金配分!$D$6, B43=③資金配分!$D$4, B43=③資金配分!$D$5, B43=③資金配分!$D$6, C43=③資金配分!$D$4, C43=③資金配分!$D$5, C43=③資金配分!$D$6), 0, IF(AND(③資金配分!$B$8&gt;0, G43&lt;=③資金配分!$B$8), 1, 0))))</f>
        <v>0</v>
      </c>
      <c r="I43">
        <f t="shared" si="1"/>
        <v>0</v>
      </c>
      <c r="J43">
        <f>IF(I43&gt;0, ROUND((I43 / SUM($I$2:$I$817)) * ③資金配分!$B$7, -2), 0)</f>
        <v>0</v>
      </c>
    </row>
    <row r="44" spans="1:10" x14ac:dyDescent="0.4">
      <c r="A44">
        <v>1</v>
      </c>
      <c r="B44">
        <v>4</v>
      </c>
      <c r="C44">
        <v>16</v>
      </c>
      <c r="D44">
        <f>IFERROR(IF(_xlfn.XLOOKUP(A44, ①オッズ入力!$A$2:$A$19, ①オッズ入力!$D$2:$D$19, "")="", 0, _xlfn.XLOOKUP(A44, ①オッズ入力!$A$2:$A$19, ①オッズ入力!$D$2:$D$19, 0)), 0)</f>
        <v>0.29775022002530088</v>
      </c>
      <c r="E44">
        <f>IFERROR(IF(_xlfn.XLOOKUP(B44, ①オッズ入力!$A$2:$A$19, ①オッズ入力!$D$2:$D$19, "")="", 0, _xlfn.XLOOKUP(B44, ①オッズ入力!$A$2:$A$19, ①オッズ入力!$D$2:$D$19, 0)), 0)</f>
        <v>7.1460052806072205E-2</v>
      </c>
      <c r="F44">
        <f>IFERROR(IF(_xlfn.XLOOKUP(C44, ①オッズ入力!$A$2:$A$19, ①オッズ入力!$D$2:$D$19, "")="", 0, _xlfn.XLOOKUP(C44, ①オッズ入力!$A$2:$A$19, ①オッズ入力!$D$2:$D$19, 0)), 0)</f>
        <v>9.8701730395127345E-3</v>
      </c>
      <c r="G44">
        <f t="shared" si="0"/>
        <v>4761.6756521427487</v>
      </c>
      <c r="H44">
        <f>IF(G44="", 0, IF(OR(A44=③資金配分!$D$1, A44=③資金配分!$D$2, B44=③資金配分!$D$1, B44=③資金配分!$D$2, C44=③資金配分!$D$1, C44=③資金配分!$D$2), 0, IF(OR(A44=③資金配分!$D$4, A44=③資金配分!$D$5, A44=③資金配分!$D$6, B44=③資金配分!$D$4, B44=③資金配分!$D$5, B44=③資金配分!$D$6, C44=③資金配分!$D$4, C44=③資金配分!$D$5, C44=③資金配分!$D$6), 0, IF(AND(③資金配分!$B$8&gt;0, G44&lt;=③資金配分!$B$8), 1, 0))))</f>
        <v>0</v>
      </c>
      <c r="I44">
        <f t="shared" si="1"/>
        <v>0</v>
      </c>
      <c r="J44">
        <f>IF(I44&gt;0, ROUND((I44 / SUM($I$2:$I$817)) * ③資金配分!$B$7, -2), 0)</f>
        <v>0</v>
      </c>
    </row>
    <row r="45" spans="1:10" x14ac:dyDescent="0.4">
      <c r="A45">
        <v>1</v>
      </c>
      <c r="B45">
        <v>4</v>
      </c>
      <c r="C45">
        <v>17</v>
      </c>
      <c r="D45">
        <f>IFERROR(IF(_xlfn.XLOOKUP(A45, ①オッズ入力!$A$2:$A$19, ①オッズ入力!$D$2:$D$19, "")="", 0, _xlfn.XLOOKUP(A45, ①オッズ入力!$A$2:$A$19, ①オッズ入力!$D$2:$D$19, 0)), 0)</f>
        <v>0.29775022002530088</v>
      </c>
      <c r="E45">
        <f>IFERROR(IF(_xlfn.XLOOKUP(B45, ①オッズ入力!$A$2:$A$19, ①オッズ入力!$D$2:$D$19, "")="", 0, _xlfn.XLOOKUP(B45, ①オッズ入力!$A$2:$A$19, ①オッズ入力!$D$2:$D$19, 0)), 0)</f>
        <v>7.1460052806072205E-2</v>
      </c>
      <c r="F45">
        <f>IFERROR(IF(_xlfn.XLOOKUP(C45, ①オッズ入力!$A$2:$A$19, ①オッズ入力!$D$2:$D$19, "")="", 0, _xlfn.XLOOKUP(C45, ①オッズ入力!$A$2:$A$19, ①オッズ入力!$D$2:$D$19, 0)), 0)</f>
        <v>9.1615452315477186E-3</v>
      </c>
      <c r="G45">
        <f t="shared" si="0"/>
        <v>5129.9820561758897</v>
      </c>
      <c r="H45">
        <f>IF(G45="", 0, IF(OR(A45=③資金配分!$D$1, A45=③資金配分!$D$2, B45=③資金配分!$D$1, B45=③資金配分!$D$2, C45=③資金配分!$D$1, C45=③資金配分!$D$2), 0, IF(OR(A45=③資金配分!$D$4, A45=③資金配分!$D$5, A45=③資金配分!$D$6, B45=③資金配分!$D$4, B45=③資金配分!$D$5, B45=③資金配分!$D$6, C45=③資金配分!$D$4, C45=③資金配分!$D$5, C45=③資金配分!$D$6), 0, IF(AND(③資金配分!$B$8&gt;0, G45&lt;=③資金配分!$B$8), 1, 0))))</f>
        <v>0</v>
      </c>
      <c r="I45">
        <f t="shared" si="1"/>
        <v>0</v>
      </c>
      <c r="J45">
        <f>IF(I45&gt;0, ROUND((I45 / SUM($I$2:$I$817)) * ③資金配分!$B$7, -2), 0)</f>
        <v>0</v>
      </c>
    </row>
    <row r="46" spans="1:10" x14ac:dyDescent="0.4">
      <c r="A46">
        <v>1</v>
      </c>
      <c r="B46">
        <v>4</v>
      </c>
      <c r="C46">
        <v>18</v>
      </c>
      <c r="D46">
        <f>IFERROR(IF(_xlfn.XLOOKUP(A46, ①オッズ入力!$A$2:$A$19, ①オッズ入力!$D$2:$D$19, "")="", 0, _xlfn.XLOOKUP(A46, ①オッズ入力!$A$2:$A$19, ①オッズ入力!$D$2:$D$19, 0)), 0)</f>
        <v>0.29775022002530088</v>
      </c>
      <c r="E46">
        <f>IFERROR(IF(_xlfn.XLOOKUP(B46, ①オッズ入力!$A$2:$A$19, ①オッズ入力!$D$2:$D$19, "")="", 0, _xlfn.XLOOKUP(B46, ①オッズ入力!$A$2:$A$19, ①オッズ入力!$D$2:$D$19, 0)), 0)</f>
        <v>7.1460052806072205E-2</v>
      </c>
      <c r="F46">
        <f>IFERROR(IF(_xlfn.XLOOKUP(C46, ①オッズ入力!$A$2:$A$19, ①オッズ入力!$D$2:$D$19, "")="", 0, _xlfn.XLOOKUP(C46, ①オッズ入力!$A$2:$A$19, ①オッズ入力!$D$2:$D$19, 0)), 0)</f>
        <v>8.5478532064679671E-3</v>
      </c>
      <c r="G46">
        <f t="shared" si="0"/>
        <v>5498.2884602090298</v>
      </c>
      <c r="H46">
        <f>IF(G46="", 0, IF(OR(A46=③資金配分!$D$1, A46=③資金配分!$D$2, B46=③資金配分!$D$1, B46=③資金配分!$D$2, C46=③資金配分!$D$1, C46=③資金配分!$D$2), 0, IF(OR(A46=③資金配分!$D$4, A46=③資金配分!$D$5, A46=③資金配分!$D$6, B46=③資金配分!$D$4, B46=③資金配分!$D$5, B46=③資金配分!$D$6, C46=③資金配分!$D$4, C46=③資金配分!$D$5, C46=③資金配分!$D$6), 0, IF(AND(③資金配分!$B$8&gt;0, G46&lt;=③資金配分!$B$8), 1, 0))))</f>
        <v>0</v>
      </c>
      <c r="I46">
        <f t="shared" si="1"/>
        <v>0</v>
      </c>
      <c r="J46">
        <f>IF(I46&gt;0, ROUND((I46 / SUM($I$2:$I$817)) * ③資金配分!$B$7, -2), 0)</f>
        <v>0</v>
      </c>
    </row>
    <row r="47" spans="1:10" x14ac:dyDescent="0.4">
      <c r="A47">
        <v>1</v>
      </c>
      <c r="B47">
        <v>5</v>
      </c>
      <c r="C47">
        <v>6</v>
      </c>
      <c r="D47">
        <f>IFERROR(IF(_xlfn.XLOOKUP(A47, ①オッズ入力!$A$2:$A$19, ①オッズ入力!$D$2:$D$19, "")="", 0, _xlfn.XLOOKUP(A47, ①オッズ入力!$A$2:$A$19, ①オッズ入力!$D$2:$D$19, 0)), 0)</f>
        <v>0.29775022002530088</v>
      </c>
      <c r="E47">
        <f>IFERROR(IF(_xlfn.XLOOKUP(B47, ①オッズ入力!$A$2:$A$19, ①オッズ入力!$D$2:$D$19, "")="", 0, _xlfn.XLOOKUP(B47, ①オッズ入力!$A$2:$A$19, ①オッズ入力!$D$2:$D$19, 0)), 0)</f>
        <v>4.4662533003795128E-2</v>
      </c>
      <c r="F47">
        <f>IFERROR(IF(_xlfn.XLOOKUP(C47, ①オッズ入力!$A$2:$A$19, ①オッズ入力!$D$2:$D$19, "")="", 0, _xlfn.XLOOKUP(C47, ①オッズ入力!$A$2:$A$19, ①オッズ入力!$D$2:$D$19, 0)), 0)</f>
        <v>3.2481842184578273E-2</v>
      </c>
      <c r="G47">
        <f t="shared" si="0"/>
        <v>2315.0688253511703</v>
      </c>
      <c r="H47">
        <f>IF(G47="", 0, IF(OR(A47=③資金配分!$D$1, A47=③資金配分!$D$2, B47=③資金配分!$D$1, B47=③資金配分!$D$2, C47=③資金配分!$D$1, C47=③資金配分!$D$2), 0, IF(OR(A47=③資金配分!$D$4, A47=③資金配分!$D$5, A47=③資金配分!$D$6, B47=③資金配分!$D$4, B47=③資金配分!$D$5, B47=③資金配分!$D$6, C47=③資金配分!$D$4, C47=③資金配分!$D$5, C47=③資金配分!$D$6), 0, IF(AND(③資金配分!$B$8&gt;0, G47&lt;=③資金配分!$B$8), 1, 0))))</f>
        <v>0</v>
      </c>
      <c r="I47">
        <f t="shared" si="1"/>
        <v>0</v>
      </c>
      <c r="J47">
        <f>IF(I47&gt;0, ROUND((I47 / SUM($I$2:$I$817)) * ③資金配分!$B$7, -2), 0)</f>
        <v>0</v>
      </c>
    </row>
    <row r="48" spans="1:10" x14ac:dyDescent="0.4">
      <c r="A48">
        <v>1</v>
      </c>
      <c r="B48">
        <v>5</v>
      </c>
      <c r="C48">
        <v>7</v>
      </c>
      <c r="D48">
        <f>IFERROR(IF(_xlfn.XLOOKUP(A48, ①オッズ入力!$A$2:$A$19, ①オッズ入力!$D$2:$D$19, "")="", 0, _xlfn.XLOOKUP(A48, ①オッズ入力!$A$2:$A$19, ①オッズ入力!$D$2:$D$19, 0)), 0)</f>
        <v>0.29775022002530088</v>
      </c>
      <c r="E48">
        <f>IFERROR(IF(_xlfn.XLOOKUP(B48, ①オッズ入力!$A$2:$A$19, ①オッズ入力!$D$2:$D$19, "")="", 0, _xlfn.XLOOKUP(B48, ①オッズ入力!$A$2:$A$19, ①オッズ入力!$D$2:$D$19, 0)), 0)</f>
        <v>4.4662533003795128E-2</v>
      </c>
      <c r="F48">
        <f>IFERROR(IF(_xlfn.XLOOKUP(C48, ①オッズ入力!$A$2:$A$19, ①オッズ入力!$D$2:$D$19, "")="", 0, _xlfn.XLOOKUP(C48, ①オッズ入力!$A$2:$A$19, ①オッズ入力!$D$2:$D$19, 0)), 0)</f>
        <v>2.9775022002530085E-2</v>
      </c>
      <c r="G48">
        <f t="shared" si="0"/>
        <v>2525.529627655822</v>
      </c>
      <c r="H48">
        <f>IF(G48="", 0, IF(OR(A48=③資金配分!$D$1, A48=③資金配分!$D$2, B48=③資金配分!$D$1, B48=③資金配分!$D$2, C48=③資金配分!$D$1, C48=③資金配分!$D$2), 0, IF(OR(A48=③資金配分!$D$4, A48=③資金配分!$D$5, A48=③資金配分!$D$6, B48=③資金配分!$D$4, B48=③資金配分!$D$5, B48=③資金配分!$D$6, C48=③資金配分!$D$4, C48=③資金配分!$D$5, C48=③資金配分!$D$6), 0, IF(AND(③資金配分!$B$8&gt;0, G48&lt;=③資金配分!$B$8), 1, 0))))</f>
        <v>0</v>
      </c>
      <c r="I48">
        <f t="shared" si="1"/>
        <v>0</v>
      </c>
      <c r="J48">
        <f>IF(I48&gt;0, ROUND((I48 / SUM($I$2:$I$817)) * ③資金配分!$B$7, -2), 0)</f>
        <v>0</v>
      </c>
    </row>
    <row r="49" spans="1:10" x14ac:dyDescent="0.4">
      <c r="A49">
        <v>1</v>
      </c>
      <c r="B49">
        <v>5</v>
      </c>
      <c r="C49">
        <v>8</v>
      </c>
      <c r="D49">
        <f>IFERROR(IF(_xlfn.XLOOKUP(A49, ①オッズ入力!$A$2:$A$19, ①オッズ入力!$D$2:$D$19, "")="", 0, _xlfn.XLOOKUP(A49, ①オッズ入力!$A$2:$A$19, ①オッズ入力!$D$2:$D$19, 0)), 0)</f>
        <v>0.29775022002530088</v>
      </c>
      <c r="E49">
        <f>IFERROR(IF(_xlfn.XLOOKUP(B49, ①オッズ入力!$A$2:$A$19, ①オッズ入力!$D$2:$D$19, "")="", 0, _xlfn.XLOOKUP(B49, ①オッズ入力!$A$2:$A$19, ①オッズ入力!$D$2:$D$19, 0)), 0)</f>
        <v>4.4662533003795128E-2</v>
      </c>
      <c r="F49">
        <f>IFERROR(IF(_xlfn.XLOOKUP(C49, ①オッズ入力!$A$2:$A$19, ①オッズ入力!$D$2:$D$19, "")="", 0, _xlfn.XLOOKUP(C49, ①オッズ入力!$A$2:$A$19, ①オッズ入力!$D$2:$D$19, 0)), 0)</f>
        <v>2.3820017602024068E-2</v>
      </c>
      <c r="G49">
        <f t="shared" si="0"/>
        <v>3156.9120345697779</v>
      </c>
      <c r="H49">
        <f>IF(G49="", 0, IF(OR(A49=③資金配分!$D$1, A49=③資金配分!$D$2, B49=③資金配分!$D$1, B49=③資金配分!$D$2, C49=③資金配分!$D$1, C49=③資金配分!$D$2), 0, IF(OR(A49=③資金配分!$D$4, A49=③資金配分!$D$5, A49=③資金配分!$D$6, B49=③資金配分!$D$4, B49=③資金配分!$D$5, B49=③資金配分!$D$6, C49=③資金配分!$D$4, C49=③資金配分!$D$5, C49=③資金配分!$D$6), 0, IF(AND(③資金配分!$B$8&gt;0, G49&lt;=③資金配分!$B$8), 1, 0))))</f>
        <v>0</v>
      </c>
      <c r="I49">
        <f t="shared" si="1"/>
        <v>0</v>
      </c>
      <c r="J49">
        <f>IF(I49&gt;0, ROUND((I49 / SUM($I$2:$I$817)) * ③資金配分!$B$7, -2), 0)</f>
        <v>0</v>
      </c>
    </row>
    <row r="50" spans="1:10" x14ac:dyDescent="0.4">
      <c r="A50">
        <v>1</v>
      </c>
      <c r="B50">
        <v>5</v>
      </c>
      <c r="C50">
        <v>9</v>
      </c>
      <c r="D50">
        <f>IFERROR(IF(_xlfn.XLOOKUP(A50, ①オッズ入力!$A$2:$A$19, ①オッズ入力!$D$2:$D$19, "")="", 0, _xlfn.XLOOKUP(A50, ①オッズ入力!$A$2:$A$19, ①オッズ入力!$D$2:$D$19, 0)), 0)</f>
        <v>0.29775022002530088</v>
      </c>
      <c r="E50">
        <f>IFERROR(IF(_xlfn.XLOOKUP(B50, ①オッズ入力!$A$2:$A$19, ①オッズ入力!$D$2:$D$19, "")="", 0, _xlfn.XLOOKUP(B50, ①オッズ入力!$A$2:$A$19, ①オッズ入力!$D$2:$D$19, 0)), 0)</f>
        <v>4.4662533003795128E-2</v>
      </c>
      <c r="F50">
        <f>IFERROR(IF(_xlfn.XLOOKUP(C50, ①オッズ入力!$A$2:$A$19, ①オッズ入力!$D$2:$D$19, "")="", 0, _xlfn.XLOOKUP(C50, ①オッズ入力!$A$2:$A$19, ①オッズ入力!$D$2:$D$19, 0)), 0)</f>
        <v>1.9850014668353389E-2</v>
      </c>
      <c r="G50">
        <f t="shared" si="0"/>
        <v>3788.2944414837334</v>
      </c>
      <c r="H50">
        <f>IF(G50="", 0, IF(OR(A50=③資金配分!$D$1, A50=③資金配分!$D$2, B50=③資金配分!$D$1, B50=③資金配分!$D$2, C50=③資金配分!$D$1, C50=③資金配分!$D$2), 0, IF(OR(A50=③資金配分!$D$4, A50=③資金配分!$D$5, A50=③資金配分!$D$6, B50=③資金配分!$D$4, B50=③資金配分!$D$5, B50=③資金配分!$D$6, C50=③資金配分!$D$4, C50=③資金配分!$D$5, C50=③資金配分!$D$6), 0, IF(AND(③資金配分!$B$8&gt;0, G50&lt;=③資金配分!$B$8), 1, 0))))</f>
        <v>0</v>
      </c>
      <c r="I50">
        <f t="shared" si="1"/>
        <v>0</v>
      </c>
      <c r="J50">
        <f>IF(I50&gt;0, ROUND((I50 / SUM($I$2:$I$817)) * ③資金配分!$B$7, -2), 0)</f>
        <v>0</v>
      </c>
    </row>
    <row r="51" spans="1:10" x14ac:dyDescent="0.4">
      <c r="A51">
        <v>1</v>
      </c>
      <c r="B51">
        <v>5</v>
      </c>
      <c r="C51">
        <v>10</v>
      </c>
      <c r="D51">
        <f>IFERROR(IF(_xlfn.XLOOKUP(A51, ①オッズ入力!$A$2:$A$19, ①オッズ入力!$D$2:$D$19, "")="", 0, _xlfn.XLOOKUP(A51, ①オッズ入力!$A$2:$A$19, ①オッズ入力!$D$2:$D$19, 0)), 0)</f>
        <v>0.29775022002530088</v>
      </c>
      <c r="E51">
        <f>IFERROR(IF(_xlfn.XLOOKUP(B51, ①オッズ入力!$A$2:$A$19, ①オッズ入力!$D$2:$D$19, "")="", 0, _xlfn.XLOOKUP(B51, ①オッズ入力!$A$2:$A$19, ①オッズ入力!$D$2:$D$19, 0)), 0)</f>
        <v>4.4662533003795128E-2</v>
      </c>
      <c r="F51">
        <f>IFERROR(IF(_xlfn.XLOOKUP(C51, ①オッズ入力!$A$2:$A$19, ①オッズ入力!$D$2:$D$19, "")="", 0, _xlfn.XLOOKUP(C51, ①オッズ入力!$A$2:$A$19, ①オッズ入力!$D$2:$D$19, 0)), 0)</f>
        <v>1.7865013201518051E-2</v>
      </c>
      <c r="G51">
        <f t="shared" si="0"/>
        <v>4209.2160460930363</v>
      </c>
      <c r="H51">
        <f>IF(G51="", 0, IF(OR(A51=③資金配分!$D$1, A51=③資金配分!$D$2, B51=③資金配分!$D$1, B51=③資金配分!$D$2, C51=③資金配分!$D$1, C51=③資金配分!$D$2), 0, IF(OR(A51=③資金配分!$D$4, A51=③資金配分!$D$5, A51=③資金配分!$D$6, B51=③資金配分!$D$4, B51=③資金配分!$D$5, B51=③資金配分!$D$6, C51=③資金配分!$D$4, C51=③資金配分!$D$5, C51=③資金配分!$D$6), 0, IF(AND(③資金配分!$B$8&gt;0, G51&lt;=③資金配分!$B$8), 1, 0))))</f>
        <v>0</v>
      </c>
      <c r="I51">
        <f t="shared" si="1"/>
        <v>0</v>
      </c>
      <c r="J51">
        <f>IF(I51&gt;0, ROUND((I51 / SUM($I$2:$I$817)) * ③資金配分!$B$7, -2), 0)</f>
        <v>0</v>
      </c>
    </row>
    <row r="52" spans="1:10" x14ac:dyDescent="0.4">
      <c r="A52">
        <v>1</v>
      </c>
      <c r="B52">
        <v>5</v>
      </c>
      <c r="C52">
        <v>11</v>
      </c>
      <c r="D52">
        <f>IFERROR(IF(_xlfn.XLOOKUP(A52, ①オッズ入力!$A$2:$A$19, ①オッズ入力!$D$2:$D$19, "")="", 0, _xlfn.XLOOKUP(A52, ①オッズ入力!$A$2:$A$19, ①オッズ入力!$D$2:$D$19, 0)), 0)</f>
        <v>0.29775022002530088</v>
      </c>
      <c r="E52">
        <f>IFERROR(IF(_xlfn.XLOOKUP(B52, ①オッズ入力!$A$2:$A$19, ①オッズ入力!$D$2:$D$19, "")="", 0, _xlfn.XLOOKUP(B52, ①オッズ入力!$A$2:$A$19, ①オッズ入力!$D$2:$D$19, 0)), 0)</f>
        <v>4.4662533003795128E-2</v>
      </c>
      <c r="F52">
        <f>IFERROR(IF(_xlfn.XLOOKUP(C52, ①オッズ入力!$A$2:$A$19, ①オッズ入力!$D$2:$D$19, "")="", 0, _xlfn.XLOOKUP(C52, ①オッズ入力!$A$2:$A$19, ①オッズ入力!$D$2:$D$19, 0)), 0)</f>
        <v>1.6240921092289137E-2</v>
      </c>
      <c r="G52">
        <f t="shared" si="0"/>
        <v>4630.1376507023406</v>
      </c>
      <c r="H52">
        <f>IF(G52="", 0, IF(OR(A52=③資金配分!$D$1, A52=③資金配分!$D$2, B52=③資金配分!$D$1, B52=③資金配分!$D$2, C52=③資金配分!$D$1, C52=③資金配分!$D$2), 0, IF(OR(A52=③資金配分!$D$4, A52=③資金配分!$D$5, A52=③資金配分!$D$6, B52=③資金配分!$D$4, B52=③資金配分!$D$5, B52=③資金配分!$D$6, C52=③資金配分!$D$4, C52=③資金配分!$D$5, C52=③資金配分!$D$6), 0, IF(AND(③資金配分!$B$8&gt;0, G52&lt;=③資金配分!$B$8), 1, 0))))</f>
        <v>0</v>
      </c>
      <c r="I52">
        <f t="shared" si="1"/>
        <v>0</v>
      </c>
      <c r="J52">
        <f>IF(I52&gt;0, ROUND((I52 / SUM($I$2:$I$817)) * ③資金配分!$B$7, -2), 0)</f>
        <v>0</v>
      </c>
    </row>
    <row r="53" spans="1:10" x14ac:dyDescent="0.4">
      <c r="A53">
        <v>1</v>
      </c>
      <c r="B53">
        <v>5</v>
      </c>
      <c r="C53">
        <v>12</v>
      </c>
      <c r="D53">
        <f>IFERROR(IF(_xlfn.XLOOKUP(A53, ①オッズ入力!$A$2:$A$19, ①オッズ入力!$D$2:$D$19, "")="", 0, _xlfn.XLOOKUP(A53, ①オッズ入力!$A$2:$A$19, ①オッズ入力!$D$2:$D$19, 0)), 0)</f>
        <v>0.29775022002530088</v>
      </c>
      <c r="E53">
        <f>IFERROR(IF(_xlfn.XLOOKUP(B53, ①オッズ入力!$A$2:$A$19, ①オッズ入力!$D$2:$D$19, "")="", 0, _xlfn.XLOOKUP(B53, ①オッズ入力!$A$2:$A$19, ①オッズ入力!$D$2:$D$19, 0)), 0)</f>
        <v>4.4662533003795128E-2</v>
      </c>
      <c r="F53">
        <f>IFERROR(IF(_xlfn.XLOOKUP(C53, ①オッズ入力!$A$2:$A$19, ①オッズ入力!$D$2:$D$19, "")="", 0, _xlfn.XLOOKUP(C53, ①オッズ入力!$A$2:$A$19, ①オッズ入力!$D$2:$D$19, 0)), 0)</f>
        <v>1.4887511001265043E-2</v>
      </c>
      <c r="G53">
        <f t="shared" si="0"/>
        <v>5051.0592553116439</v>
      </c>
      <c r="H53">
        <f>IF(G53="", 0, IF(OR(A53=③資金配分!$D$1, A53=③資金配分!$D$2, B53=③資金配分!$D$1, B53=③資金配分!$D$2, C53=③資金配分!$D$1, C53=③資金配分!$D$2), 0, IF(OR(A53=③資金配分!$D$4, A53=③資金配分!$D$5, A53=③資金配分!$D$6, B53=③資金配分!$D$4, B53=③資金配分!$D$5, B53=③資金配分!$D$6, C53=③資金配分!$D$4, C53=③資金配分!$D$5, C53=③資金配分!$D$6), 0, IF(AND(③資金配分!$B$8&gt;0, G53&lt;=③資金配分!$B$8), 1, 0))))</f>
        <v>0</v>
      </c>
      <c r="I53">
        <f t="shared" si="1"/>
        <v>0</v>
      </c>
      <c r="J53">
        <f>IF(I53&gt;0, ROUND((I53 / SUM($I$2:$I$817)) * ③資金配分!$B$7, -2), 0)</f>
        <v>0</v>
      </c>
    </row>
    <row r="54" spans="1:10" x14ac:dyDescent="0.4">
      <c r="A54">
        <v>1</v>
      </c>
      <c r="B54">
        <v>5</v>
      </c>
      <c r="C54">
        <v>13</v>
      </c>
      <c r="D54">
        <f>IFERROR(IF(_xlfn.XLOOKUP(A54, ①オッズ入力!$A$2:$A$19, ①オッズ入力!$D$2:$D$19, "")="", 0, _xlfn.XLOOKUP(A54, ①オッズ入力!$A$2:$A$19, ①オッズ入力!$D$2:$D$19, 0)), 0)</f>
        <v>0.29775022002530088</v>
      </c>
      <c r="E54">
        <f>IFERROR(IF(_xlfn.XLOOKUP(B54, ①オッズ入力!$A$2:$A$19, ①オッズ入力!$D$2:$D$19, "")="", 0, _xlfn.XLOOKUP(B54, ①オッズ入力!$A$2:$A$19, ①オッズ入力!$D$2:$D$19, 0)), 0)</f>
        <v>4.4662533003795128E-2</v>
      </c>
      <c r="F54">
        <f>IFERROR(IF(_xlfn.XLOOKUP(C54, ①オッズ入力!$A$2:$A$19, ①オッズ入力!$D$2:$D$19, "")="", 0, _xlfn.XLOOKUP(C54, ①オッズ入力!$A$2:$A$19, ①オッズ入力!$D$2:$D$19, 0)), 0)</f>
        <v>1.2760723715370036E-2</v>
      </c>
      <c r="G54">
        <f t="shared" si="0"/>
        <v>5892.9024645302525</v>
      </c>
      <c r="H54">
        <f>IF(G54="", 0, IF(OR(A54=③資金配分!$D$1, A54=③資金配分!$D$2, B54=③資金配分!$D$1, B54=③資金配分!$D$2, C54=③資金配分!$D$1, C54=③資金配分!$D$2), 0, IF(OR(A54=③資金配分!$D$4, A54=③資金配分!$D$5, A54=③資金配分!$D$6, B54=③資金配分!$D$4, B54=③資金配分!$D$5, B54=③資金配分!$D$6, C54=③資金配分!$D$4, C54=③資金配分!$D$5, C54=③資金配分!$D$6), 0, IF(AND(③資金配分!$B$8&gt;0, G54&lt;=③資金配分!$B$8), 1, 0))))</f>
        <v>0</v>
      </c>
      <c r="I54">
        <f t="shared" si="1"/>
        <v>0</v>
      </c>
      <c r="J54">
        <f>IF(I54&gt;0, ROUND((I54 / SUM($I$2:$I$817)) * ③資金配分!$B$7, -2), 0)</f>
        <v>0</v>
      </c>
    </row>
    <row r="55" spans="1:10" x14ac:dyDescent="0.4">
      <c r="A55">
        <v>1</v>
      </c>
      <c r="B55">
        <v>5</v>
      </c>
      <c r="C55">
        <v>14</v>
      </c>
      <c r="D55">
        <f>IFERROR(IF(_xlfn.XLOOKUP(A55, ①オッズ入力!$A$2:$A$19, ①オッズ入力!$D$2:$D$19, "")="", 0, _xlfn.XLOOKUP(A55, ①オッズ入力!$A$2:$A$19, ①オッズ入力!$D$2:$D$19, 0)), 0)</f>
        <v>0.29775022002530088</v>
      </c>
      <c r="E55">
        <f>IFERROR(IF(_xlfn.XLOOKUP(B55, ①オッズ入力!$A$2:$A$19, ①オッズ入力!$D$2:$D$19, "")="", 0, _xlfn.XLOOKUP(B55, ①オッズ入力!$A$2:$A$19, ①オッズ入力!$D$2:$D$19, 0)), 0)</f>
        <v>4.4662533003795128E-2</v>
      </c>
      <c r="F55">
        <f>IFERROR(IF(_xlfn.XLOOKUP(C55, ①オッズ入力!$A$2:$A$19, ①オッズ入力!$D$2:$D$19, "")="", 0, _xlfn.XLOOKUP(C55, ①オッズ入力!$A$2:$A$19, ①オッズ入力!$D$2:$D$19, 0)), 0)</f>
        <v>1.1525814968721322E-2</v>
      </c>
      <c r="G55">
        <f t="shared" si="0"/>
        <v>6524.2848714442071</v>
      </c>
      <c r="H55">
        <f>IF(G55="", 0, IF(OR(A55=③資金配分!$D$1, A55=③資金配分!$D$2, B55=③資金配分!$D$1, B55=③資金配分!$D$2, C55=③資金配分!$D$1, C55=③資金配分!$D$2), 0, IF(OR(A55=③資金配分!$D$4, A55=③資金配分!$D$5, A55=③資金配分!$D$6, B55=③資金配分!$D$4, B55=③資金配分!$D$5, B55=③資金配分!$D$6, C55=③資金配分!$D$4, C55=③資金配分!$D$5, C55=③資金配分!$D$6), 0, IF(AND(③資金配分!$B$8&gt;0, G55&lt;=③資金配分!$B$8), 1, 0))))</f>
        <v>0</v>
      </c>
      <c r="I55">
        <f t="shared" si="1"/>
        <v>0</v>
      </c>
      <c r="J55">
        <f>IF(I55&gt;0, ROUND((I55 / SUM($I$2:$I$817)) * ③資金配分!$B$7, -2), 0)</f>
        <v>0</v>
      </c>
    </row>
    <row r="56" spans="1:10" x14ac:dyDescent="0.4">
      <c r="A56">
        <v>1</v>
      </c>
      <c r="B56">
        <v>5</v>
      </c>
      <c r="C56">
        <v>15</v>
      </c>
      <c r="D56">
        <f>IFERROR(IF(_xlfn.XLOOKUP(A56, ①オッズ入力!$A$2:$A$19, ①オッズ入力!$D$2:$D$19, "")="", 0, _xlfn.XLOOKUP(A56, ①オッズ入力!$A$2:$A$19, ①オッズ入力!$D$2:$D$19, 0)), 0)</f>
        <v>0.29775022002530088</v>
      </c>
      <c r="E56">
        <f>IFERROR(IF(_xlfn.XLOOKUP(B56, ①オッズ入力!$A$2:$A$19, ①オッズ入力!$D$2:$D$19, "")="", 0, _xlfn.XLOOKUP(B56, ①オッズ入力!$A$2:$A$19, ①オッズ入力!$D$2:$D$19, 0)), 0)</f>
        <v>4.4662533003795128E-2</v>
      </c>
      <c r="F56">
        <f>IFERROR(IF(_xlfn.XLOOKUP(C56, ①オッズ入力!$A$2:$A$19, ①オッズ入力!$D$2:$D$19, "")="", 0, _xlfn.XLOOKUP(C56, ①オッズ入力!$A$2:$A$19, ①オッズ入力!$D$2:$D$19, 0)), 0)</f>
        <v>1.0697612695519792E-2</v>
      </c>
      <c r="G56">
        <f t="shared" si="0"/>
        <v>7029.3907969753709</v>
      </c>
      <c r="H56">
        <f>IF(G56="", 0, IF(OR(A56=③資金配分!$D$1, A56=③資金配分!$D$2, B56=③資金配分!$D$1, B56=③資金配分!$D$2, C56=③資金配分!$D$1, C56=③資金配分!$D$2), 0, IF(OR(A56=③資金配分!$D$4, A56=③資金配分!$D$5, A56=③資金配分!$D$6, B56=③資金配分!$D$4, B56=③資金配分!$D$5, B56=③資金配分!$D$6, C56=③資金配分!$D$4, C56=③資金配分!$D$5, C56=③資金配分!$D$6), 0, IF(AND(③資金配分!$B$8&gt;0, G56&lt;=③資金配分!$B$8), 1, 0))))</f>
        <v>0</v>
      </c>
      <c r="I56">
        <f t="shared" si="1"/>
        <v>0</v>
      </c>
      <c r="J56">
        <f>IF(I56&gt;0, ROUND((I56 / SUM($I$2:$I$817)) * ③資金配分!$B$7, -2), 0)</f>
        <v>0</v>
      </c>
    </row>
    <row r="57" spans="1:10" x14ac:dyDescent="0.4">
      <c r="A57">
        <v>1</v>
      </c>
      <c r="B57">
        <v>5</v>
      </c>
      <c r="C57">
        <v>16</v>
      </c>
      <c r="D57">
        <f>IFERROR(IF(_xlfn.XLOOKUP(A57, ①オッズ入力!$A$2:$A$19, ①オッズ入力!$D$2:$D$19, "")="", 0, _xlfn.XLOOKUP(A57, ①オッズ入力!$A$2:$A$19, ①オッズ入力!$D$2:$D$19, 0)), 0)</f>
        <v>0.29775022002530088</v>
      </c>
      <c r="E57">
        <f>IFERROR(IF(_xlfn.XLOOKUP(B57, ①オッズ入力!$A$2:$A$19, ①オッズ入力!$D$2:$D$19, "")="", 0, _xlfn.XLOOKUP(B57, ①オッズ入力!$A$2:$A$19, ①オッズ入力!$D$2:$D$19, 0)), 0)</f>
        <v>4.4662533003795128E-2</v>
      </c>
      <c r="F57">
        <f>IFERROR(IF(_xlfn.XLOOKUP(C57, ①オッズ入力!$A$2:$A$19, ①オッズ入力!$D$2:$D$19, "")="", 0, _xlfn.XLOOKUP(C57, ①オッズ入力!$A$2:$A$19, ①オッズ入力!$D$2:$D$19, 0)), 0)</f>
        <v>9.8701730395127345E-3</v>
      </c>
      <c r="G57">
        <f t="shared" si="0"/>
        <v>7618.6810434283962</v>
      </c>
      <c r="H57">
        <f>IF(G57="", 0, IF(OR(A57=③資金配分!$D$1, A57=③資金配分!$D$2, B57=③資金配分!$D$1, B57=③資金配分!$D$2, C57=③資金配分!$D$1, C57=③資金配分!$D$2), 0, IF(OR(A57=③資金配分!$D$4, A57=③資金配分!$D$5, A57=③資金配分!$D$6, B57=③資金配分!$D$4, B57=③資金配分!$D$5, B57=③資金配分!$D$6, C57=③資金配分!$D$4, C57=③資金配分!$D$5, C57=③資金配分!$D$6), 0, IF(AND(③資金配分!$B$8&gt;0, G57&lt;=③資金配分!$B$8), 1, 0))))</f>
        <v>0</v>
      </c>
      <c r="I57">
        <f t="shared" si="1"/>
        <v>0</v>
      </c>
      <c r="J57">
        <f>IF(I57&gt;0, ROUND((I57 / SUM($I$2:$I$817)) * ③資金配分!$B$7, -2), 0)</f>
        <v>0</v>
      </c>
    </row>
    <row r="58" spans="1:10" x14ac:dyDescent="0.4">
      <c r="A58">
        <v>1</v>
      </c>
      <c r="B58">
        <v>5</v>
      </c>
      <c r="C58">
        <v>17</v>
      </c>
      <c r="D58">
        <f>IFERROR(IF(_xlfn.XLOOKUP(A58, ①オッズ入力!$A$2:$A$19, ①オッズ入力!$D$2:$D$19, "")="", 0, _xlfn.XLOOKUP(A58, ①オッズ入力!$A$2:$A$19, ①オッズ入力!$D$2:$D$19, 0)), 0)</f>
        <v>0.29775022002530088</v>
      </c>
      <c r="E58">
        <f>IFERROR(IF(_xlfn.XLOOKUP(B58, ①オッズ入力!$A$2:$A$19, ①オッズ入力!$D$2:$D$19, "")="", 0, _xlfn.XLOOKUP(B58, ①オッズ入力!$A$2:$A$19, ①オッズ入力!$D$2:$D$19, 0)), 0)</f>
        <v>4.4662533003795128E-2</v>
      </c>
      <c r="F58">
        <f>IFERROR(IF(_xlfn.XLOOKUP(C58, ①オッズ入力!$A$2:$A$19, ①オッズ入力!$D$2:$D$19, "")="", 0, _xlfn.XLOOKUP(C58, ①オッズ入力!$A$2:$A$19, ①オッズ入力!$D$2:$D$19, 0)), 0)</f>
        <v>9.1615452315477186E-3</v>
      </c>
      <c r="G58">
        <f t="shared" si="0"/>
        <v>8207.9712898814214</v>
      </c>
      <c r="H58">
        <f>IF(G58="", 0, IF(OR(A58=③資金配分!$D$1, A58=③資金配分!$D$2, B58=③資金配分!$D$1, B58=③資金配分!$D$2, C58=③資金配分!$D$1, C58=③資金配分!$D$2), 0, IF(OR(A58=③資金配分!$D$4, A58=③資金配分!$D$5, A58=③資金配分!$D$6, B58=③資金配分!$D$4, B58=③資金配分!$D$5, B58=③資金配分!$D$6, C58=③資金配分!$D$4, C58=③資金配分!$D$5, C58=③資金配分!$D$6), 0, IF(AND(③資金配分!$B$8&gt;0, G58&lt;=③資金配分!$B$8), 1, 0))))</f>
        <v>0</v>
      </c>
      <c r="I58">
        <f t="shared" si="1"/>
        <v>0</v>
      </c>
      <c r="J58">
        <f>IF(I58&gt;0, ROUND((I58 / SUM($I$2:$I$817)) * ③資金配分!$B$7, -2), 0)</f>
        <v>0</v>
      </c>
    </row>
    <row r="59" spans="1:10" x14ac:dyDescent="0.4">
      <c r="A59">
        <v>1</v>
      </c>
      <c r="B59">
        <v>5</v>
      </c>
      <c r="C59">
        <v>18</v>
      </c>
      <c r="D59">
        <f>IFERROR(IF(_xlfn.XLOOKUP(A59, ①オッズ入力!$A$2:$A$19, ①オッズ入力!$D$2:$D$19, "")="", 0, _xlfn.XLOOKUP(A59, ①オッズ入力!$A$2:$A$19, ①オッズ入力!$D$2:$D$19, 0)), 0)</f>
        <v>0.29775022002530088</v>
      </c>
      <c r="E59">
        <f>IFERROR(IF(_xlfn.XLOOKUP(B59, ①オッズ入力!$A$2:$A$19, ①オッズ入力!$D$2:$D$19, "")="", 0, _xlfn.XLOOKUP(B59, ①オッズ入力!$A$2:$A$19, ①オッズ入力!$D$2:$D$19, 0)), 0)</f>
        <v>4.4662533003795128E-2</v>
      </c>
      <c r="F59">
        <f>IFERROR(IF(_xlfn.XLOOKUP(C59, ①オッズ入力!$A$2:$A$19, ①オッズ入力!$D$2:$D$19, "")="", 0, _xlfn.XLOOKUP(C59, ①オッズ入力!$A$2:$A$19, ①オッズ入力!$D$2:$D$19, 0)), 0)</f>
        <v>8.5478532064679671E-3</v>
      </c>
      <c r="G59">
        <f t="shared" si="0"/>
        <v>8797.2615363344466</v>
      </c>
      <c r="H59">
        <f>IF(G59="", 0, IF(OR(A59=③資金配分!$D$1, A59=③資金配分!$D$2, B59=③資金配分!$D$1, B59=③資金配分!$D$2, C59=③資金配分!$D$1, C59=③資金配分!$D$2), 0, IF(OR(A59=③資金配分!$D$4, A59=③資金配分!$D$5, A59=③資金配分!$D$6, B59=③資金配分!$D$4, B59=③資金配分!$D$5, B59=③資金配分!$D$6, C59=③資金配分!$D$4, C59=③資金配分!$D$5, C59=③資金配分!$D$6), 0, IF(AND(③資金配分!$B$8&gt;0, G59&lt;=③資金配分!$B$8), 1, 0))))</f>
        <v>0</v>
      </c>
      <c r="I59">
        <f t="shared" si="1"/>
        <v>0</v>
      </c>
      <c r="J59">
        <f>IF(I59&gt;0, ROUND((I59 / SUM($I$2:$I$817)) * ③資金配分!$B$7, -2), 0)</f>
        <v>0</v>
      </c>
    </row>
    <row r="60" spans="1:10" x14ac:dyDescent="0.4">
      <c r="A60">
        <v>1</v>
      </c>
      <c r="B60">
        <v>6</v>
      </c>
      <c r="C60">
        <v>7</v>
      </c>
      <c r="D60">
        <f>IFERROR(IF(_xlfn.XLOOKUP(A60, ①オッズ入力!$A$2:$A$19, ①オッズ入力!$D$2:$D$19, "")="", 0, _xlfn.XLOOKUP(A60, ①オッズ入力!$A$2:$A$19, ①オッズ入力!$D$2:$D$19, 0)), 0)</f>
        <v>0.29775022002530088</v>
      </c>
      <c r="E60">
        <f>IFERROR(IF(_xlfn.XLOOKUP(B60, ①オッズ入力!$A$2:$A$19, ①オッズ入力!$D$2:$D$19, "")="", 0, _xlfn.XLOOKUP(B60, ①オッズ入力!$A$2:$A$19, ①オッズ入力!$D$2:$D$19, 0)), 0)</f>
        <v>3.2481842184578273E-2</v>
      </c>
      <c r="F60">
        <f>IFERROR(IF(_xlfn.XLOOKUP(C60, ①オッズ入力!$A$2:$A$19, ①オッズ入力!$D$2:$D$19, "")="", 0, _xlfn.XLOOKUP(C60, ①オッズ入力!$A$2:$A$19, ①オッズ入力!$D$2:$D$19, 0)), 0)</f>
        <v>2.9775022002530085E-2</v>
      </c>
      <c r="G60">
        <f t="shared" si="0"/>
        <v>3472.6032380267557</v>
      </c>
      <c r="H60">
        <f>IF(G60="", 0, IF(OR(A60=③資金配分!$D$1, A60=③資金配分!$D$2, B60=③資金配分!$D$1, B60=③資金配分!$D$2, C60=③資金配分!$D$1, C60=③資金配分!$D$2), 0, IF(OR(A60=③資金配分!$D$4, A60=③資金配分!$D$5, A60=③資金配分!$D$6, B60=③資金配分!$D$4, B60=③資金配分!$D$5, B60=③資金配分!$D$6, C60=③資金配分!$D$4, C60=③資金配分!$D$5, C60=③資金配分!$D$6), 0, IF(AND(③資金配分!$B$8&gt;0, G60&lt;=③資金配分!$B$8), 1, 0))))</f>
        <v>0</v>
      </c>
      <c r="I60">
        <f t="shared" si="1"/>
        <v>0</v>
      </c>
      <c r="J60">
        <f>IF(I60&gt;0, ROUND((I60 / SUM($I$2:$I$817)) * ③資金配分!$B$7, -2), 0)</f>
        <v>0</v>
      </c>
    </row>
    <row r="61" spans="1:10" x14ac:dyDescent="0.4">
      <c r="A61">
        <v>1</v>
      </c>
      <c r="B61">
        <v>6</v>
      </c>
      <c r="C61">
        <v>8</v>
      </c>
      <c r="D61">
        <f>IFERROR(IF(_xlfn.XLOOKUP(A61, ①オッズ入力!$A$2:$A$19, ①オッズ入力!$D$2:$D$19, "")="", 0, _xlfn.XLOOKUP(A61, ①オッズ入力!$A$2:$A$19, ①オッズ入力!$D$2:$D$19, 0)), 0)</f>
        <v>0.29775022002530088</v>
      </c>
      <c r="E61">
        <f>IFERROR(IF(_xlfn.XLOOKUP(B61, ①オッズ入力!$A$2:$A$19, ①オッズ入力!$D$2:$D$19, "")="", 0, _xlfn.XLOOKUP(B61, ①オッズ入力!$A$2:$A$19, ①オッズ入力!$D$2:$D$19, 0)), 0)</f>
        <v>3.2481842184578273E-2</v>
      </c>
      <c r="F61">
        <f>IFERROR(IF(_xlfn.XLOOKUP(C61, ①オッズ入力!$A$2:$A$19, ①オッズ入力!$D$2:$D$19, "")="", 0, _xlfn.XLOOKUP(C61, ①オッズ入力!$A$2:$A$19, ①オッズ入力!$D$2:$D$19, 0)), 0)</f>
        <v>2.3820017602024068E-2</v>
      </c>
      <c r="G61">
        <f t="shared" si="0"/>
        <v>4340.7540475334445</v>
      </c>
      <c r="H61">
        <f>IF(G61="", 0, IF(OR(A61=③資金配分!$D$1, A61=③資金配分!$D$2, B61=③資金配分!$D$1, B61=③資金配分!$D$2, C61=③資金配分!$D$1, C61=③資金配分!$D$2), 0, IF(OR(A61=③資金配分!$D$4, A61=③資金配分!$D$5, A61=③資金配分!$D$6, B61=③資金配分!$D$4, B61=③資金配分!$D$5, B61=③資金配分!$D$6, C61=③資金配分!$D$4, C61=③資金配分!$D$5, C61=③資金配分!$D$6), 0, IF(AND(③資金配分!$B$8&gt;0, G61&lt;=③資金配分!$B$8), 1, 0))))</f>
        <v>0</v>
      </c>
      <c r="I61">
        <f t="shared" si="1"/>
        <v>0</v>
      </c>
      <c r="J61">
        <f>IF(I61&gt;0, ROUND((I61 / SUM($I$2:$I$817)) * ③資金配分!$B$7, -2), 0)</f>
        <v>0</v>
      </c>
    </row>
    <row r="62" spans="1:10" x14ac:dyDescent="0.4">
      <c r="A62">
        <v>1</v>
      </c>
      <c r="B62">
        <v>6</v>
      </c>
      <c r="C62">
        <v>9</v>
      </c>
      <c r="D62">
        <f>IFERROR(IF(_xlfn.XLOOKUP(A62, ①オッズ入力!$A$2:$A$19, ①オッズ入力!$D$2:$D$19, "")="", 0, _xlfn.XLOOKUP(A62, ①オッズ入力!$A$2:$A$19, ①オッズ入力!$D$2:$D$19, 0)), 0)</f>
        <v>0.29775022002530088</v>
      </c>
      <c r="E62">
        <f>IFERROR(IF(_xlfn.XLOOKUP(B62, ①オッズ入力!$A$2:$A$19, ①オッズ入力!$D$2:$D$19, "")="", 0, _xlfn.XLOOKUP(B62, ①オッズ入力!$A$2:$A$19, ①オッズ入力!$D$2:$D$19, 0)), 0)</f>
        <v>3.2481842184578273E-2</v>
      </c>
      <c r="F62">
        <f>IFERROR(IF(_xlfn.XLOOKUP(C62, ①オッズ入力!$A$2:$A$19, ①オッズ入力!$D$2:$D$19, "")="", 0, _xlfn.XLOOKUP(C62, ①オッズ入力!$A$2:$A$19, ①オッズ入力!$D$2:$D$19, 0)), 0)</f>
        <v>1.9850014668353389E-2</v>
      </c>
      <c r="G62">
        <f t="shared" si="0"/>
        <v>5208.9048570401337</v>
      </c>
      <c r="H62">
        <f>IF(G62="", 0, IF(OR(A62=③資金配分!$D$1, A62=③資金配分!$D$2, B62=③資金配分!$D$1, B62=③資金配分!$D$2, C62=③資金配分!$D$1, C62=③資金配分!$D$2), 0, IF(OR(A62=③資金配分!$D$4, A62=③資金配分!$D$5, A62=③資金配分!$D$6, B62=③資金配分!$D$4, B62=③資金配分!$D$5, B62=③資金配分!$D$6, C62=③資金配分!$D$4, C62=③資金配分!$D$5, C62=③資金配分!$D$6), 0, IF(AND(③資金配分!$B$8&gt;0, G62&lt;=③資金配分!$B$8), 1, 0))))</f>
        <v>0</v>
      </c>
      <c r="I62">
        <f t="shared" si="1"/>
        <v>0</v>
      </c>
      <c r="J62">
        <f>IF(I62&gt;0, ROUND((I62 / SUM($I$2:$I$817)) * ③資金配分!$B$7, -2), 0)</f>
        <v>0</v>
      </c>
    </row>
    <row r="63" spans="1:10" x14ac:dyDescent="0.4">
      <c r="A63">
        <v>1</v>
      </c>
      <c r="B63">
        <v>6</v>
      </c>
      <c r="C63">
        <v>10</v>
      </c>
      <c r="D63">
        <f>IFERROR(IF(_xlfn.XLOOKUP(A63, ①オッズ入力!$A$2:$A$19, ①オッズ入力!$D$2:$D$19, "")="", 0, _xlfn.XLOOKUP(A63, ①オッズ入力!$A$2:$A$19, ①オッズ入力!$D$2:$D$19, 0)), 0)</f>
        <v>0.29775022002530088</v>
      </c>
      <c r="E63">
        <f>IFERROR(IF(_xlfn.XLOOKUP(B63, ①オッズ入力!$A$2:$A$19, ①オッズ入力!$D$2:$D$19, "")="", 0, _xlfn.XLOOKUP(B63, ①オッズ入力!$A$2:$A$19, ①オッズ入力!$D$2:$D$19, 0)), 0)</f>
        <v>3.2481842184578273E-2</v>
      </c>
      <c r="F63">
        <f>IFERROR(IF(_xlfn.XLOOKUP(C63, ①オッズ入力!$A$2:$A$19, ①オッズ入力!$D$2:$D$19, "")="", 0, _xlfn.XLOOKUP(C63, ①オッズ入力!$A$2:$A$19, ①オッズ入力!$D$2:$D$19, 0)), 0)</f>
        <v>1.7865013201518051E-2</v>
      </c>
      <c r="G63">
        <f t="shared" si="0"/>
        <v>5787.6720633779269</v>
      </c>
      <c r="H63">
        <f>IF(G63="", 0, IF(OR(A63=③資金配分!$D$1, A63=③資金配分!$D$2, B63=③資金配分!$D$1, B63=③資金配分!$D$2, C63=③資金配分!$D$1, C63=③資金配分!$D$2), 0, IF(OR(A63=③資金配分!$D$4, A63=③資金配分!$D$5, A63=③資金配分!$D$6, B63=③資金配分!$D$4, B63=③資金配分!$D$5, B63=③資金配分!$D$6, C63=③資金配分!$D$4, C63=③資金配分!$D$5, C63=③資金配分!$D$6), 0, IF(AND(③資金配分!$B$8&gt;0, G63&lt;=③資金配分!$B$8), 1, 0))))</f>
        <v>0</v>
      </c>
      <c r="I63">
        <f t="shared" si="1"/>
        <v>0</v>
      </c>
      <c r="J63">
        <f>IF(I63&gt;0, ROUND((I63 / SUM($I$2:$I$817)) * ③資金配分!$B$7, -2), 0)</f>
        <v>0</v>
      </c>
    </row>
    <row r="64" spans="1:10" x14ac:dyDescent="0.4">
      <c r="A64">
        <v>1</v>
      </c>
      <c r="B64">
        <v>6</v>
      </c>
      <c r="C64">
        <v>11</v>
      </c>
      <c r="D64">
        <f>IFERROR(IF(_xlfn.XLOOKUP(A64, ①オッズ入力!$A$2:$A$19, ①オッズ入力!$D$2:$D$19, "")="", 0, _xlfn.XLOOKUP(A64, ①オッズ入力!$A$2:$A$19, ①オッズ入力!$D$2:$D$19, 0)), 0)</f>
        <v>0.29775022002530088</v>
      </c>
      <c r="E64">
        <f>IFERROR(IF(_xlfn.XLOOKUP(B64, ①オッズ入力!$A$2:$A$19, ①オッズ入力!$D$2:$D$19, "")="", 0, _xlfn.XLOOKUP(B64, ①オッズ入力!$A$2:$A$19, ①オッズ入力!$D$2:$D$19, 0)), 0)</f>
        <v>3.2481842184578273E-2</v>
      </c>
      <c r="F64">
        <f>IFERROR(IF(_xlfn.XLOOKUP(C64, ①オッズ入力!$A$2:$A$19, ①オッズ入力!$D$2:$D$19, "")="", 0, _xlfn.XLOOKUP(C64, ①オッズ入力!$A$2:$A$19, ①オッズ入力!$D$2:$D$19, 0)), 0)</f>
        <v>1.6240921092289137E-2</v>
      </c>
      <c r="G64">
        <f t="shared" si="0"/>
        <v>6366.4392697157191</v>
      </c>
      <c r="H64">
        <f>IF(G64="", 0, IF(OR(A64=③資金配分!$D$1, A64=③資金配分!$D$2, B64=③資金配分!$D$1, B64=③資金配分!$D$2, C64=③資金配分!$D$1, C64=③資金配分!$D$2), 0, IF(OR(A64=③資金配分!$D$4, A64=③資金配分!$D$5, A64=③資金配分!$D$6, B64=③資金配分!$D$4, B64=③資金配分!$D$5, B64=③資金配分!$D$6, C64=③資金配分!$D$4, C64=③資金配分!$D$5, C64=③資金配分!$D$6), 0, IF(AND(③資金配分!$B$8&gt;0, G64&lt;=③資金配分!$B$8), 1, 0))))</f>
        <v>0</v>
      </c>
      <c r="I64">
        <f t="shared" si="1"/>
        <v>0</v>
      </c>
      <c r="J64">
        <f>IF(I64&gt;0, ROUND((I64 / SUM($I$2:$I$817)) * ③資金配分!$B$7, -2), 0)</f>
        <v>0</v>
      </c>
    </row>
    <row r="65" spans="1:10" x14ac:dyDescent="0.4">
      <c r="A65">
        <v>1</v>
      </c>
      <c r="B65">
        <v>6</v>
      </c>
      <c r="C65">
        <v>12</v>
      </c>
      <c r="D65">
        <f>IFERROR(IF(_xlfn.XLOOKUP(A65, ①オッズ入力!$A$2:$A$19, ①オッズ入力!$D$2:$D$19, "")="", 0, _xlfn.XLOOKUP(A65, ①オッズ入力!$A$2:$A$19, ①オッズ入力!$D$2:$D$19, 0)), 0)</f>
        <v>0.29775022002530088</v>
      </c>
      <c r="E65">
        <f>IFERROR(IF(_xlfn.XLOOKUP(B65, ①オッズ入力!$A$2:$A$19, ①オッズ入力!$D$2:$D$19, "")="", 0, _xlfn.XLOOKUP(B65, ①オッズ入力!$A$2:$A$19, ①オッズ入力!$D$2:$D$19, 0)), 0)</f>
        <v>3.2481842184578273E-2</v>
      </c>
      <c r="F65">
        <f>IFERROR(IF(_xlfn.XLOOKUP(C65, ①オッズ入力!$A$2:$A$19, ①オッズ入力!$D$2:$D$19, "")="", 0, _xlfn.XLOOKUP(C65, ①オッズ入力!$A$2:$A$19, ①オッズ入力!$D$2:$D$19, 0)), 0)</f>
        <v>1.4887511001265043E-2</v>
      </c>
      <c r="G65">
        <f t="shared" si="0"/>
        <v>6945.2064760535113</v>
      </c>
      <c r="H65">
        <f>IF(G65="", 0, IF(OR(A65=③資金配分!$D$1, A65=③資金配分!$D$2, B65=③資金配分!$D$1, B65=③資金配分!$D$2, C65=③資金配分!$D$1, C65=③資金配分!$D$2), 0, IF(OR(A65=③資金配分!$D$4, A65=③資金配分!$D$5, A65=③資金配分!$D$6, B65=③資金配分!$D$4, B65=③資金配分!$D$5, B65=③資金配分!$D$6, C65=③資金配分!$D$4, C65=③資金配分!$D$5, C65=③資金配分!$D$6), 0, IF(AND(③資金配分!$B$8&gt;0, G65&lt;=③資金配分!$B$8), 1, 0))))</f>
        <v>0</v>
      </c>
      <c r="I65">
        <f t="shared" si="1"/>
        <v>0</v>
      </c>
      <c r="J65">
        <f>IF(I65&gt;0, ROUND((I65 / SUM($I$2:$I$817)) * ③資金配分!$B$7, -2), 0)</f>
        <v>0</v>
      </c>
    </row>
    <row r="66" spans="1:10" x14ac:dyDescent="0.4">
      <c r="A66">
        <v>1</v>
      </c>
      <c r="B66">
        <v>6</v>
      </c>
      <c r="C66">
        <v>13</v>
      </c>
      <c r="D66">
        <f>IFERROR(IF(_xlfn.XLOOKUP(A66, ①オッズ入力!$A$2:$A$19, ①オッズ入力!$D$2:$D$19, "")="", 0, _xlfn.XLOOKUP(A66, ①オッズ入力!$A$2:$A$19, ①オッズ入力!$D$2:$D$19, 0)), 0)</f>
        <v>0.29775022002530088</v>
      </c>
      <c r="E66">
        <f>IFERROR(IF(_xlfn.XLOOKUP(B66, ①オッズ入力!$A$2:$A$19, ①オッズ入力!$D$2:$D$19, "")="", 0, _xlfn.XLOOKUP(B66, ①オッズ入力!$A$2:$A$19, ①オッズ入力!$D$2:$D$19, 0)), 0)</f>
        <v>3.2481842184578273E-2</v>
      </c>
      <c r="F66">
        <f>IFERROR(IF(_xlfn.XLOOKUP(C66, ①オッズ入力!$A$2:$A$19, ①オッズ入力!$D$2:$D$19, "")="", 0, _xlfn.XLOOKUP(C66, ①オッズ入力!$A$2:$A$19, ①オッズ入力!$D$2:$D$19, 0)), 0)</f>
        <v>1.2760723715370036E-2</v>
      </c>
      <c r="G66">
        <f t="shared" si="0"/>
        <v>8102.7408887290976</v>
      </c>
      <c r="H66">
        <f>IF(G66="", 0, IF(OR(A66=③資金配分!$D$1, A66=③資金配分!$D$2, B66=③資金配分!$D$1, B66=③資金配分!$D$2, C66=③資金配分!$D$1, C66=③資金配分!$D$2), 0, IF(OR(A66=③資金配分!$D$4, A66=③資金配分!$D$5, A66=③資金配分!$D$6, B66=③資金配分!$D$4, B66=③資金配分!$D$5, B66=③資金配分!$D$6, C66=③資金配分!$D$4, C66=③資金配分!$D$5, C66=③資金配分!$D$6), 0, IF(AND(③資金配分!$B$8&gt;0, G66&lt;=③資金配分!$B$8), 1, 0))))</f>
        <v>0</v>
      </c>
      <c r="I66">
        <f t="shared" si="1"/>
        <v>0</v>
      </c>
      <c r="J66">
        <f>IF(I66&gt;0, ROUND((I66 / SUM($I$2:$I$817)) * ③資金配分!$B$7, -2), 0)</f>
        <v>0</v>
      </c>
    </row>
    <row r="67" spans="1:10" x14ac:dyDescent="0.4">
      <c r="A67">
        <v>1</v>
      </c>
      <c r="B67">
        <v>6</v>
      </c>
      <c r="C67">
        <v>14</v>
      </c>
      <c r="D67">
        <f>IFERROR(IF(_xlfn.XLOOKUP(A67, ①オッズ入力!$A$2:$A$19, ①オッズ入力!$D$2:$D$19, "")="", 0, _xlfn.XLOOKUP(A67, ①オッズ入力!$A$2:$A$19, ①オッズ入力!$D$2:$D$19, 0)), 0)</f>
        <v>0.29775022002530088</v>
      </c>
      <c r="E67">
        <f>IFERROR(IF(_xlfn.XLOOKUP(B67, ①オッズ入力!$A$2:$A$19, ①オッズ入力!$D$2:$D$19, "")="", 0, _xlfn.XLOOKUP(B67, ①オッズ入力!$A$2:$A$19, ①オッズ入力!$D$2:$D$19, 0)), 0)</f>
        <v>3.2481842184578273E-2</v>
      </c>
      <c r="F67">
        <f>IFERROR(IF(_xlfn.XLOOKUP(C67, ①オッズ入力!$A$2:$A$19, ①オッズ入力!$D$2:$D$19, "")="", 0, _xlfn.XLOOKUP(C67, ①オッズ入力!$A$2:$A$19, ①オッズ入力!$D$2:$D$19, 0)), 0)</f>
        <v>1.1525814968721322E-2</v>
      </c>
      <c r="G67">
        <f t="shared" ref="G67:G130" si="2">IF(OR(D67=0, E67=0, F67=0), "", 1/(D67*E67*F67))</f>
        <v>8970.891698235786</v>
      </c>
      <c r="H67">
        <f>IF(G67="", 0, IF(OR(A67=③資金配分!$D$1, A67=③資金配分!$D$2, B67=③資金配分!$D$1, B67=③資金配分!$D$2, C67=③資金配分!$D$1, C67=③資金配分!$D$2), 0, IF(OR(A67=③資金配分!$D$4, A67=③資金配分!$D$5, A67=③資金配分!$D$6, B67=③資金配分!$D$4, B67=③資金配分!$D$5, B67=③資金配分!$D$6, C67=③資金配分!$D$4, C67=③資金配分!$D$5, C67=③資金配分!$D$6), 0, IF(AND(③資金配分!$B$8&gt;0, G67&lt;=③資金配分!$B$8), 1, 0))))</f>
        <v>0</v>
      </c>
      <c r="I67">
        <f t="shared" ref="I67:I130" si="3">IF(H67=1, 1/G67, 0)</f>
        <v>0</v>
      </c>
      <c r="J67">
        <f>IF(I67&gt;0, ROUND((I67 / SUM($I$2:$I$817)) * ③資金配分!$B$7, -2), 0)</f>
        <v>0</v>
      </c>
    </row>
    <row r="68" spans="1:10" x14ac:dyDescent="0.4">
      <c r="A68">
        <v>1</v>
      </c>
      <c r="B68">
        <v>6</v>
      </c>
      <c r="C68">
        <v>15</v>
      </c>
      <c r="D68">
        <f>IFERROR(IF(_xlfn.XLOOKUP(A68, ①オッズ入力!$A$2:$A$19, ①オッズ入力!$D$2:$D$19, "")="", 0, _xlfn.XLOOKUP(A68, ①オッズ入力!$A$2:$A$19, ①オッズ入力!$D$2:$D$19, 0)), 0)</f>
        <v>0.29775022002530088</v>
      </c>
      <c r="E68">
        <f>IFERROR(IF(_xlfn.XLOOKUP(B68, ①オッズ入力!$A$2:$A$19, ①オッズ入力!$D$2:$D$19, "")="", 0, _xlfn.XLOOKUP(B68, ①オッズ入力!$A$2:$A$19, ①オッズ入力!$D$2:$D$19, 0)), 0)</f>
        <v>3.2481842184578273E-2</v>
      </c>
      <c r="F68">
        <f>IFERROR(IF(_xlfn.XLOOKUP(C68, ①オッズ入力!$A$2:$A$19, ①オッズ入力!$D$2:$D$19, "")="", 0, _xlfn.XLOOKUP(C68, ①オッズ入力!$A$2:$A$19, ①オッズ入力!$D$2:$D$19, 0)), 0)</f>
        <v>1.0697612695519792E-2</v>
      </c>
      <c r="G68">
        <f t="shared" si="2"/>
        <v>9665.4123458411359</v>
      </c>
      <c r="H68">
        <f>IF(G68="", 0, IF(OR(A68=③資金配分!$D$1, A68=③資金配分!$D$2, B68=③資金配分!$D$1, B68=③資金配分!$D$2, C68=③資金配分!$D$1, C68=③資金配分!$D$2), 0, IF(OR(A68=③資金配分!$D$4, A68=③資金配分!$D$5, A68=③資金配分!$D$6, B68=③資金配分!$D$4, B68=③資金配分!$D$5, B68=③資金配分!$D$6, C68=③資金配分!$D$4, C68=③資金配分!$D$5, C68=③資金配分!$D$6), 0, IF(AND(③資金配分!$B$8&gt;0, G68&lt;=③資金配分!$B$8), 1, 0))))</f>
        <v>0</v>
      </c>
      <c r="I68">
        <f t="shared" si="3"/>
        <v>0</v>
      </c>
      <c r="J68">
        <f>IF(I68&gt;0, ROUND((I68 / SUM($I$2:$I$817)) * ③資金配分!$B$7, -2), 0)</f>
        <v>0</v>
      </c>
    </row>
    <row r="69" spans="1:10" x14ac:dyDescent="0.4">
      <c r="A69">
        <v>1</v>
      </c>
      <c r="B69">
        <v>6</v>
      </c>
      <c r="C69">
        <v>16</v>
      </c>
      <c r="D69">
        <f>IFERROR(IF(_xlfn.XLOOKUP(A69, ①オッズ入力!$A$2:$A$19, ①オッズ入力!$D$2:$D$19, "")="", 0, _xlfn.XLOOKUP(A69, ①オッズ入力!$A$2:$A$19, ①オッズ入力!$D$2:$D$19, 0)), 0)</f>
        <v>0.29775022002530088</v>
      </c>
      <c r="E69">
        <f>IFERROR(IF(_xlfn.XLOOKUP(B69, ①オッズ入力!$A$2:$A$19, ①オッズ入力!$D$2:$D$19, "")="", 0, _xlfn.XLOOKUP(B69, ①オッズ入力!$A$2:$A$19, ①オッズ入力!$D$2:$D$19, 0)), 0)</f>
        <v>3.2481842184578273E-2</v>
      </c>
      <c r="F69">
        <f>IFERROR(IF(_xlfn.XLOOKUP(C69, ①オッズ入力!$A$2:$A$19, ①オッズ入力!$D$2:$D$19, "")="", 0, _xlfn.XLOOKUP(C69, ①オッズ入力!$A$2:$A$19, ①オッズ入力!$D$2:$D$19, 0)), 0)</f>
        <v>9.8701730395127345E-3</v>
      </c>
      <c r="G69">
        <f t="shared" si="2"/>
        <v>10475.686434714047</v>
      </c>
      <c r="H69">
        <f>IF(G69="", 0, IF(OR(A69=③資金配分!$D$1, A69=③資金配分!$D$2, B69=③資金配分!$D$1, B69=③資金配分!$D$2, C69=③資金配分!$D$1, C69=③資金配分!$D$2), 0, IF(OR(A69=③資金配分!$D$4, A69=③資金配分!$D$5, A69=③資金配分!$D$6, B69=③資金配分!$D$4, B69=③資金配分!$D$5, B69=③資金配分!$D$6, C69=③資金配分!$D$4, C69=③資金配分!$D$5, C69=③資金配分!$D$6), 0, IF(AND(③資金配分!$B$8&gt;0, G69&lt;=③資金配分!$B$8), 1, 0))))</f>
        <v>0</v>
      </c>
      <c r="I69">
        <f t="shared" si="3"/>
        <v>0</v>
      </c>
      <c r="J69">
        <f>IF(I69&gt;0, ROUND((I69 / SUM($I$2:$I$817)) * ③資金配分!$B$7, -2), 0)</f>
        <v>0</v>
      </c>
    </row>
    <row r="70" spans="1:10" x14ac:dyDescent="0.4">
      <c r="A70">
        <v>1</v>
      </c>
      <c r="B70">
        <v>6</v>
      </c>
      <c r="C70">
        <v>17</v>
      </c>
      <c r="D70">
        <f>IFERROR(IF(_xlfn.XLOOKUP(A70, ①オッズ入力!$A$2:$A$19, ①オッズ入力!$D$2:$D$19, "")="", 0, _xlfn.XLOOKUP(A70, ①オッズ入力!$A$2:$A$19, ①オッズ入力!$D$2:$D$19, 0)), 0)</f>
        <v>0.29775022002530088</v>
      </c>
      <c r="E70">
        <f>IFERROR(IF(_xlfn.XLOOKUP(B70, ①オッズ入力!$A$2:$A$19, ①オッズ入力!$D$2:$D$19, "")="", 0, _xlfn.XLOOKUP(B70, ①オッズ入力!$A$2:$A$19, ①オッズ入力!$D$2:$D$19, 0)), 0)</f>
        <v>3.2481842184578273E-2</v>
      </c>
      <c r="F70">
        <f>IFERROR(IF(_xlfn.XLOOKUP(C70, ①オッズ入力!$A$2:$A$19, ①オッズ入力!$D$2:$D$19, "")="", 0, _xlfn.XLOOKUP(C70, ①オッズ入力!$A$2:$A$19, ①オッズ入力!$D$2:$D$19, 0)), 0)</f>
        <v>9.1615452315477186E-3</v>
      </c>
      <c r="G70">
        <f t="shared" si="2"/>
        <v>11285.960523586957</v>
      </c>
      <c r="H70">
        <f>IF(G70="", 0, IF(OR(A70=③資金配分!$D$1, A70=③資金配分!$D$2, B70=③資金配分!$D$1, B70=③資金配分!$D$2, C70=③資金配分!$D$1, C70=③資金配分!$D$2), 0, IF(OR(A70=③資金配分!$D$4, A70=③資金配分!$D$5, A70=③資金配分!$D$6, B70=③資金配分!$D$4, B70=③資金配分!$D$5, B70=③資金配分!$D$6, C70=③資金配分!$D$4, C70=③資金配分!$D$5, C70=③資金配分!$D$6), 0, IF(AND(③資金配分!$B$8&gt;0, G70&lt;=③資金配分!$B$8), 1, 0))))</f>
        <v>0</v>
      </c>
      <c r="I70">
        <f t="shared" si="3"/>
        <v>0</v>
      </c>
      <c r="J70">
        <f>IF(I70&gt;0, ROUND((I70 / SUM($I$2:$I$817)) * ③資金配分!$B$7, -2), 0)</f>
        <v>0</v>
      </c>
    </row>
    <row r="71" spans="1:10" x14ac:dyDescent="0.4">
      <c r="A71">
        <v>1</v>
      </c>
      <c r="B71">
        <v>6</v>
      </c>
      <c r="C71">
        <v>18</v>
      </c>
      <c r="D71">
        <f>IFERROR(IF(_xlfn.XLOOKUP(A71, ①オッズ入力!$A$2:$A$19, ①オッズ入力!$D$2:$D$19, "")="", 0, _xlfn.XLOOKUP(A71, ①オッズ入力!$A$2:$A$19, ①オッズ入力!$D$2:$D$19, 0)), 0)</f>
        <v>0.29775022002530088</v>
      </c>
      <c r="E71">
        <f>IFERROR(IF(_xlfn.XLOOKUP(B71, ①オッズ入力!$A$2:$A$19, ①オッズ入力!$D$2:$D$19, "")="", 0, _xlfn.XLOOKUP(B71, ①オッズ入力!$A$2:$A$19, ①オッズ入力!$D$2:$D$19, 0)), 0)</f>
        <v>3.2481842184578273E-2</v>
      </c>
      <c r="F71">
        <f>IFERROR(IF(_xlfn.XLOOKUP(C71, ①オッズ入力!$A$2:$A$19, ①オッズ入力!$D$2:$D$19, "")="", 0, _xlfn.XLOOKUP(C71, ①オッズ入力!$A$2:$A$19, ①オッズ入力!$D$2:$D$19, 0)), 0)</f>
        <v>8.5478532064679671E-3</v>
      </c>
      <c r="G71">
        <f t="shared" si="2"/>
        <v>12096.234612459866</v>
      </c>
      <c r="H71">
        <f>IF(G71="", 0, IF(OR(A71=③資金配分!$D$1, A71=③資金配分!$D$2, B71=③資金配分!$D$1, B71=③資金配分!$D$2, C71=③資金配分!$D$1, C71=③資金配分!$D$2), 0, IF(OR(A71=③資金配分!$D$4, A71=③資金配分!$D$5, A71=③資金配分!$D$6, B71=③資金配分!$D$4, B71=③資金配分!$D$5, B71=③資金配分!$D$6, C71=③資金配分!$D$4, C71=③資金配分!$D$5, C71=③資金配分!$D$6), 0, IF(AND(③資金配分!$B$8&gt;0, G71&lt;=③資金配分!$B$8), 1, 0))))</f>
        <v>0</v>
      </c>
      <c r="I71">
        <f t="shared" si="3"/>
        <v>0</v>
      </c>
      <c r="J71">
        <f>IF(I71&gt;0, ROUND((I71 / SUM($I$2:$I$817)) * ③資金配分!$B$7, -2), 0)</f>
        <v>0</v>
      </c>
    </row>
    <row r="72" spans="1:10" x14ac:dyDescent="0.4">
      <c r="A72">
        <v>1</v>
      </c>
      <c r="B72">
        <v>7</v>
      </c>
      <c r="C72">
        <v>8</v>
      </c>
      <c r="D72">
        <f>IFERROR(IF(_xlfn.XLOOKUP(A72, ①オッズ入力!$A$2:$A$19, ①オッズ入力!$D$2:$D$19, "")="", 0, _xlfn.XLOOKUP(A72, ①オッズ入力!$A$2:$A$19, ①オッズ入力!$D$2:$D$19, 0)), 0)</f>
        <v>0.29775022002530088</v>
      </c>
      <c r="E72">
        <f>IFERROR(IF(_xlfn.XLOOKUP(B72, ①オッズ入力!$A$2:$A$19, ①オッズ入力!$D$2:$D$19, "")="", 0, _xlfn.XLOOKUP(B72, ①オッズ入力!$A$2:$A$19, ①オッズ入力!$D$2:$D$19, 0)), 0)</f>
        <v>2.9775022002530085E-2</v>
      </c>
      <c r="F72">
        <f>IFERROR(IF(_xlfn.XLOOKUP(C72, ①オッズ入力!$A$2:$A$19, ①オッズ入力!$D$2:$D$19, "")="", 0, _xlfn.XLOOKUP(C72, ①オッズ入力!$A$2:$A$19, ①オッズ入力!$D$2:$D$19, 0)), 0)</f>
        <v>2.3820017602024068E-2</v>
      </c>
      <c r="G72">
        <f t="shared" si="2"/>
        <v>4735.3680518546662</v>
      </c>
      <c r="H72">
        <f>IF(G72="", 0, IF(OR(A72=③資金配分!$D$1, A72=③資金配分!$D$2, B72=③資金配分!$D$1, B72=③資金配分!$D$2, C72=③資金配分!$D$1, C72=③資金配分!$D$2), 0, IF(OR(A72=③資金配分!$D$4, A72=③資金配分!$D$5, A72=③資金配分!$D$6, B72=③資金配分!$D$4, B72=③資金配分!$D$5, B72=③資金配分!$D$6, C72=③資金配分!$D$4, C72=③資金配分!$D$5, C72=③資金配分!$D$6), 0, IF(AND(③資金配分!$B$8&gt;0, G72&lt;=③資金配分!$B$8), 1, 0))))</f>
        <v>0</v>
      </c>
      <c r="I72">
        <f t="shared" si="3"/>
        <v>0</v>
      </c>
      <c r="J72">
        <f>IF(I72&gt;0, ROUND((I72 / SUM($I$2:$I$817)) * ③資金配分!$B$7, -2), 0)</f>
        <v>0</v>
      </c>
    </row>
    <row r="73" spans="1:10" x14ac:dyDescent="0.4">
      <c r="A73">
        <v>1</v>
      </c>
      <c r="B73">
        <v>7</v>
      </c>
      <c r="C73">
        <v>9</v>
      </c>
      <c r="D73">
        <f>IFERROR(IF(_xlfn.XLOOKUP(A73, ①オッズ入力!$A$2:$A$19, ①オッズ入力!$D$2:$D$19, "")="", 0, _xlfn.XLOOKUP(A73, ①オッズ入力!$A$2:$A$19, ①オッズ入力!$D$2:$D$19, 0)), 0)</f>
        <v>0.29775022002530088</v>
      </c>
      <c r="E73">
        <f>IFERROR(IF(_xlfn.XLOOKUP(B73, ①オッズ入力!$A$2:$A$19, ①オッズ入力!$D$2:$D$19, "")="", 0, _xlfn.XLOOKUP(B73, ①オッズ入力!$A$2:$A$19, ①オッズ入力!$D$2:$D$19, 0)), 0)</f>
        <v>2.9775022002530085E-2</v>
      </c>
      <c r="F73">
        <f>IFERROR(IF(_xlfn.XLOOKUP(C73, ①オッズ入力!$A$2:$A$19, ①オッズ入力!$D$2:$D$19, "")="", 0, _xlfn.XLOOKUP(C73, ①オッズ入力!$A$2:$A$19, ①オッズ入力!$D$2:$D$19, 0)), 0)</f>
        <v>1.9850014668353389E-2</v>
      </c>
      <c r="G73">
        <f t="shared" si="2"/>
        <v>5682.4416622255994</v>
      </c>
      <c r="H73">
        <f>IF(G73="", 0, IF(OR(A73=③資金配分!$D$1, A73=③資金配分!$D$2, B73=③資金配分!$D$1, B73=③資金配分!$D$2, C73=③資金配分!$D$1, C73=③資金配分!$D$2), 0, IF(OR(A73=③資金配分!$D$4, A73=③資金配分!$D$5, A73=③資金配分!$D$6, B73=③資金配分!$D$4, B73=③資金配分!$D$5, B73=③資金配分!$D$6, C73=③資金配分!$D$4, C73=③資金配分!$D$5, C73=③資金配分!$D$6), 0, IF(AND(③資金配分!$B$8&gt;0, G73&lt;=③資金配分!$B$8), 1, 0))))</f>
        <v>0</v>
      </c>
      <c r="I73">
        <f t="shared" si="3"/>
        <v>0</v>
      </c>
      <c r="J73">
        <f>IF(I73&gt;0, ROUND((I73 / SUM($I$2:$I$817)) * ③資金配分!$B$7, -2), 0)</f>
        <v>0</v>
      </c>
    </row>
    <row r="74" spans="1:10" x14ac:dyDescent="0.4">
      <c r="A74">
        <v>1</v>
      </c>
      <c r="B74">
        <v>7</v>
      </c>
      <c r="C74">
        <v>10</v>
      </c>
      <c r="D74">
        <f>IFERROR(IF(_xlfn.XLOOKUP(A74, ①オッズ入力!$A$2:$A$19, ①オッズ入力!$D$2:$D$19, "")="", 0, _xlfn.XLOOKUP(A74, ①オッズ入力!$A$2:$A$19, ①オッズ入力!$D$2:$D$19, 0)), 0)</f>
        <v>0.29775022002530088</v>
      </c>
      <c r="E74">
        <f>IFERROR(IF(_xlfn.XLOOKUP(B74, ①オッズ入力!$A$2:$A$19, ①オッズ入力!$D$2:$D$19, "")="", 0, _xlfn.XLOOKUP(B74, ①オッズ入力!$A$2:$A$19, ①オッズ入力!$D$2:$D$19, 0)), 0)</f>
        <v>2.9775022002530085E-2</v>
      </c>
      <c r="F74">
        <f>IFERROR(IF(_xlfn.XLOOKUP(C74, ①オッズ入力!$A$2:$A$19, ①オッズ入力!$D$2:$D$19, "")="", 0, _xlfn.XLOOKUP(C74, ①オッズ入力!$A$2:$A$19, ①オッズ入力!$D$2:$D$19, 0)), 0)</f>
        <v>1.7865013201518051E-2</v>
      </c>
      <c r="G74">
        <f t="shared" si="2"/>
        <v>6313.8240691395558</v>
      </c>
      <c r="H74">
        <f>IF(G74="", 0, IF(OR(A74=③資金配分!$D$1, A74=③資金配分!$D$2, B74=③資金配分!$D$1, B74=③資金配分!$D$2, C74=③資金配分!$D$1, C74=③資金配分!$D$2), 0, IF(OR(A74=③資金配分!$D$4, A74=③資金配分!$D$5, A74=③資金配分!$D$6, B74=③資金配分!$D$4, B74=③資金配分!$D$5, B74=③資金配分!$D$6, C74=③資金配分!$D$4, C74=③資金配分!$D$5, C74=③資金配分!$D$6), 0, IF(AND(③資金配分!$B$8&gt;0, G74&lt;=③資金配分!$B$8), 1, 0))))</f>
        <v>0</v>
      </c>
      <c r="I74">
        <f t="shared" si="3"/>
        <v>0</v>
      </c>
      <c r="J74">
        <f>IF(I74&gt;0, ROUND((I74 / SUM($I$2:$I$817)) * ③資金配分!$B$7, -2), 0)</f>
        <v>0</v>
      </c>
    </row>
    <row r="75" spans="1:10" x14ac:dyDescent="0.4">
      <c r="A75">
        <v>1</v>
      </c>
      <c r="B75">
        <v>7</v>
      </c>
      <c r="C75">
        <v>11</v>
      </c>
      <c r="D75">
        <f>IFERROR(IF(_xlfn.XLOOKUP(A75, ①オッズ入力!$A$2:$A$19, ①オッズ入力!$D$2:$D$19, "")="", 0, _xlfn.XLOOKUP(A75, ①オッズ入力!$A$2:$A$19, ①オッズ入力!$D$2:$D$19, 0)), 0)</f>
        <v>0.29775022002530088</v>
      </c>
      <c r="E75">
        <f>IFERROR(IF(_xlfn.XLOOKUP(B75, ①オッズ入力!$A$2:$A$19, ①オッズ入力!$D$2:$D$19, "")="", 0, _xlfn.XLOOKUP(B75, ①オッズ入力!$A$2:$A$19, ①オッズ入力!$D$2:$D$19, 0)), 0)</f>
        <v>2.9775022002530085E-2</v>
      </c>
      <c r="F75">
        <f>IFERROR(IF(_xlfn.XLOOKUP(C75, ①オッズ入力!$A$2:$A$19, ①オッズ入力!$D$2:$D$19, "")="", 0, _xlfn.XLOOKUP(C75, ①オッズ入力!$A$2:$A$19, ①オッズ入力!$D$2:$D$19, 0)), 0)</f>
        <v>1.6240921092289137E-2</v>
      </c>
      <c r="G75">
        <f t="shared" si="2"/>
        <v>6945.2064760535113</v>
      </c>
      <c r="H75">
        <f>IF(G75="", 0, IF(OR(A75=③資金配分!$D$1, A75=③資金配分!$D$2, B75=③資金配分!$D$1, B75=③資金配分!$D$2, C75=③資金配分!$D$1, C75=③資金配分!$D$2), 0, IF(OR(A75=③資金配分!$D$4, A75=③資金配分!$D$5, A75=③資金配分!$D$6, B75=③資金配分!$D$4, B75=③資金配分!$D$5, B75=③資金配分!$D$6, C75=③資金配分!$D$4, C75=③資金配分!$D$5, C75=③資金配分!$D$6), 0, IF(AND(③資金配分!$B$8&gt;0, G75&lt;=③資金配分!$B$8), 1, 0))))</f>
        <v>0</v>
      </c>
      <c r="I75">
        <f t="shared" si="3"/>
        <v>0</v>
      </c>
      <c r="J75">
        <f>IF(I75&gt;0, ROUND((I75 / SUM($I$2:$I$817)) * ③資金配分!$B$7, -2), 0)</f>
        <v>0</v>
      </c>
    </row>
    <row r="76" spans="1:10" x14ac:dyDescent="0.4">
      <c r="A76">
        <v>1</v>
      </c>
      <c r="B76">
        <v>7</v>
      </c>
      <c r="C76">
        <v>12</v>
      </c>
      <c r="D76">
        <f>IFERROR(IF(_xlfn.XLOOKUP(A76, ①オッズ入力!$A$2:$A$19, ①オッズ入力!$D$2:$D$19, "")="", 0, _xlfn.XLOOKUP(A76, ①オッズ入力!$A$2:$A$19, ①オッズ入力!$D$2:$D$19, 0)), 0)</f>
        <v>0.29775022002530088</v>
      </c>
      <c r="E76">
        <f>IFERROR(IF(_xlfn.XLOOKUP(B76, ①オッズ入力!$A$2:$A$19, ①オッズ入力!$D$2:$D$19, "")="", 0, _xlfn.XLOOKUP(B76, ①オッズ入力!$A$2:$A$19, ①オッズ入力!$D$2:$D$19, 0)), 0)</f>
        <v>2.9775022002530085E-2</v>
      </c>
      <c r="F76">
        <f>IFERROR(IF(_xlfn.XLOOKUP(C76, ①オッズ入力!$A$2:$A$19, ①オッズ入力!$D$2:$D$19, "")="", 0, _xlfn.XLOOKUP(C76, ①オッズ入力!$A$2:$A$19, ①オッズ入力!$D$2:$D$19, 0)), 0)</f>
        <v>1.4887511001265043E-2</v>
      </c>
      <c r="G76">
        <f t="shared" si="2"/>
        <v>7576.5888829674659</v>
      </c>
      <c r="H76">
        <f>IF(G76="", 0, IF(OR(A76=③資金配分!$D$1, A76=③資金配分!$D$2, B76=③資金配分!$D$1, B76=③資金配分!$D$2, C76=③資金配分!$D$1, C76=③資金配分!$D$2), 0, IF(OR(A76=③資金配分!$D$4, A76=③資金配分!$D$5, A76=③資金配分!$D$6, B76=③資金配分!$D$4, B76=③資金配分!$D$5, B76=③資金配分!$D$6, C76=③資金配分!$D$4, C76=③資金配分!$D$5, C76=③資金配分!$D$6), 0, IF(AND(③資金配分!$B$8&gt;0, G76&lt;=③資金配分!$B$8), 1, 0))))</f>
        <v>0</v>
      </c>
      <c r="I76">
        <f t="shared" si="3"/>
        <v>0</v>
      </c>
      <c r="J76">
        <f>IF(I76&gt;0, ROUND((I76 / SUM($I$2:$I$817)) * ③資金配分!$B$7, -2), 0)</f>
        <v>0</v>
      </c>
    </row>
    <row r="77" spans="1:10" x14ac:dyDescent="0.4">
      <c r="A77">
        <v>1</v>
      </c>
      <c r="B77">
        <v>7</v>
      </c>
      <c r="C77">
        <v>13</v>
      </c>
      <c r="D77">
        <f>IFERROR(IF(_xlfn.XLOOKUP(A77, ①オッズ入力!$A$2:$A$19, ①オッズ入力!$D$2:$D$19, "")="", 0, _xlfn.XLOOKUP(A77, ①オッズ入力!$A$2:$A$19, ①オッズ入力!$D$2:$D$19, 0)), 0)</f>
        <v>0.29775022002530088</v>
      </c>
      <c r="E77">
        <f>IFERROR(IF(_xlfn.XLOOKUP(B77, ①オッズ入力!$A$2:$A$19, ①オッズ入力!$D$2:$D$19, "")="", 0, _xlfn.XLOOKUP(B77, ①オッズ入力!$A$2:$A$19, ①オッズ入力!$D$2:$D$19, 0)), 0)</f>
        <v>2.9775022002530085E-2</v>
      </c>
      <c r="F77">
        <f>IFERROR(IF(_xlfn.XLOOKUP(C77, ①オッズ入力!$A$2:$A$19, ①オッズ入力!$D$2:$D$19, "")="", 0, _xlfn.XLOOKUP(C77, ①オッズ入力!$A$2:$A$19, ①オッズ入力!$D$2:$D$19, 0)), 0)</f>
        <v>1.2760723715370036E-2</v>
      </c>
      <c r="G77">
        <f t="shared" si="2"/>
        <v>8839.3536967953769</v>
      </c>
      <c r="H77">
        <f>IF(G77="", 0, IF(OR(A77=③資金配分!$D$1, A77=③資金配分!$D$2, B77=③資金配分!$D$1, B77=③資金配分!$D$2, C77=③資金配分!$D$1, C77=③資金配分!$D$2), 0, IF(OR(A77=③資金配分!$D$4, A77=③資金配分!$D$5, A77=③資金配分!$D$6, B77=③資金配分!$D$4, B77=③資金配分!$D$5, B77=③資金配分!$D$6, C77=③資金配分!$D$4, C77=③資金配分!$D$5, C77=③資金配分!$D$6), 0, IF(AND(③資金配分!$B$8&gt;0, G77&lt;=③資金配分!$B$8), 1, 0))))</f>
        <v>0</v>
      </c>
      <c r="I77">
        <f t="shared" si="3"/>
        <v>0</v>
      </c>
      <c r="J77">
        <f>IF(I77&gt;0, ROUND((I77 / SUM($I$2:$I$817)) * ③資金配分!$B$7, -2), 0)</f>
        <v>0</v>
      </c>
    </row>
    <row r="78" spans="1:10" x14ac:dyDescent="0.4">
      <c r="A78">
        <v>1</v>
      </c>
      <c r="B78">
        <v>7</v>
      </c>
      <c r="C78">
        <v>14</v>
      </c>
      <c r="D78">
        <f>IFERROR(IF(_xlfn.XLOOKUP(A78, ①オッズ入力!$A$2:$A$19, ①オッズ入力!$D$2:$D$19, "")="", 0, _xlfn.XLOOKUP(A78, ①オッズ入力!$A$2:$A$19, ①オッズ入力!$D$2:$D$19, 0)), 0)</f>
        <v>0.29775022002530088</v>
      </c>
      <c r="E78">
        <f>IFERROR(IF(_xlfn.XLOOKUP(B78, ①オッズ入力!$A$2:$A$19, ①オッズ入力!$D$2:$D$19, "")="", 0, _xlfn.XLOOKUP(B78, ①オッズ入力!$A$2:$A$19, ①オッズ入力!$D$2:$D$19, 0)), 0)</f>
        <v>2.9775022002530085E-2</v>
      </c>
      <c r="F78">
        <f>IFERROR(IF(_xlfn.XLOOKUP(C78, ①オッズ入力!$A$2:$A$19, ①オッズ入力!$D$2:$D$19, "")="", 0, _xlfn.XLOOKUP(C78, ①オッズ入力!$A$2:$A$19, ①オッズ入力!$D$2:$D$19, 0)), 0)</f>
        <v>1.1525814968721322E-2</v>
      </c>
      <c r="G78">
        <f t="shared" si="2"/>
        <v>9786.4273071663119</v>
      </c>
      <c r="H78">
        <f>IF(G78="", 0, IF(OR(A78=③資金配分!$D$1, A78=③資金配分!$D$2, B78=③資金配分!$D$1, B78=③資金配分!$D$2, C78=③資金配分!$D$1, C78=③資金配分!$D$2), 0, IF(OR(A78=③資金配分!$D$4, A78=③資金配分!$D$5, A78=③資金配分!$D$6, B78=③資金配分!$D$4, B78=③資金配分!$D$5, B78=③資金配分!$D$6, C78=③資金配分!$D$4, C78=③資金配分!$D$5, C78=③資金配分!$D$6), 0, IF(AND(③資金配分!$B$8&gt;0, G78&lt;=③資金配分!$B$8), 1, 0))))</f>
        <v>0</v>
      </c>
      <c r="I78">
        <f t="shared" si="3"/>
        <v>0</v>
      </c>
      <c r="J78">
        <f>IF(I78&gt;0, ROUND((I78 / SUM($I$2:$I$817)) * ③資金配分!$B$7, -2), 0)</f>
        <v>0</v>
      </c>
    </row>
    <row r="79" spans="1:10" x14ac:dyDescent="0.4">
      <c r="A79">
        <v>1</v>
      </c>
      <c r="B79">
        <v>7</v>
      </c>
      <c r="C79">
        <v>15</v>
      </c>
      <c r="D79">
        <f>IFERROR(IF(_xlfn.XLOOKUP(A79, ①オッズ入力!$A$2:$A$19, ①オッズ入力!$D$2:$D$19, "")="", 0, _xlfn.XLOOKUP(A79, ①オッズ入力!$A$2:$A$19, ①オッズ入力!$D$2:$D$19, 0)), 0)</f>
        <v>0.29775022002530088</v>
      </c>
      <c r="E79">
        <f>IFERROR(IF(_xlfn.XLOOKUP(B79, ①オッズ入力!$A$2:$A$19, ①オッズ入力!$D$2:$D$19, "")="", 0, _xlfn.XLOOKUP(B79, ①オッズ入力!$A$2:$A$19, ①オッズ入力!$D$2:$D$19, 0)), 0)</f>
        <v>2.9775022002530085E-2</v>
      </c>
      <c r="F79">
        <f>IFERROR(IF(_xlfn.XLOOKUP(C79, ①オッズ入力!$A$2:$A$19, ①オッズ入力!$D$2:$D$19, "")="", 0, _xlfn.XLOOKUP(C79, ①オッズ入力!$A$2:$A$19, ①オッズ入力!$D$2:$D$19, 0)), 0)</f>
        <v>1.0697612695519792E-2</v>
      </c>
      <c r="G79">
        <f t="shared" si="2"/>
        <v>10544.086195463056</v>
      </c>
      <c r="H79">
        <f>IF(G79="", 0, IF(OR(A79=③資金配分!$D$1, A79=③資金配分!$D$2, B79=③資金配分!$D$1, B79=③資金配分!$D$2, C79=③資金配分!$D$1, C79=③資金配分!$D$2), 0, IF(OR(A79=③資金配分!$D$4, A79=③資金配分!$D$5, A79=③資金配分!$D$6, B79=③資金配分!$D$4, B79=③資金配分!$D$5, B79=③資金配分!$D$6, C79=③資金配分!$D$4, C79=③資金配分!$D$5, C79=③資金配分!$D$6), 0, IF(AND(③資金配分!$B$8&gt;0, G79&lt;=③資金配分!$B$8), 1, 0))))</f>
        <v>0</v>
      </c>
      <c r="I79">
        <f t="shared" si="3"/>
        <v>0</v>
      </c>
      <c r="J79">
        <f>IF(I79&gt;0, ROUND((I79 / SUM($I$2:$I$817)) * ③資金配分!$B$7, -2), 0)</f>
        <v>0</v>
      </c>
    </row>
    <row r="80" spans="1:10" x14ac:dyDescent="0.4">
      <c r="A80">
        <v>1</v>
      </c>
      <c r="B80">
        <v>7</v>
      </c>
      <c r="C80">
        <v>16</v>
      </c>
      <c r="D80">
        <f>IFERROR(IF(_xlfn.XLOOKUP(A80, ①オッズ入力!$A$2:$A$19, ①オッズ入力!$D$2:$D$19, "")="", 0, _xlfn.XLOOKUP(A80, ①オッズ入力!$A$2:$A$19, ①オッズ入力!$D$2:$D$19, 0)), 0)</f>
        <v>0.29775022002530088</v>
      </c>
      <c r="E80">
        <f>IFERROR(IF(_xlfn.XLOOKUP(B80, ①オッズ入力!$A$2:$A$19, ①オッズ入力!$D$2:$D$19, "")="", 0, _xlfn.XLOOKUP(B80, ①オッズ入力!$A$2:$A$19, ①オッズ入力!$D$2:$D$19, 0)), 0)</f>
        <v>2.9775022002530085E-2</v>
      </c>
      <c r="F80">
        <f>IFERROR(IF(_xlfn.XLOOKUP(C80, ①オッズ入力!$A$2:$A$19, ①オッズ入力!$D$2:$D$19, "")="", 0, _xlfn.XLOOKUP(C80, ①オッズ入力!$A$2:$A$19, ①オッズ入力!$D$2:$D$19, 0)), 0)</f>
        <v>9.8701730395127345E-3</v>
      </c>
      <c r="G80">
        <f t="shared" si="2"/>
        <v>11428.021565142595</v>
      </c>
      <c r="H80">
        <f>IF(G80="", 0, IF(OR(A80=③資金配分!$D$1, A80=③資金配分!$D$2, B80=③資金配分!$D$1, B80=③資金配分!$D$2, C80=③資金配分!$D$1, C80=③資金配分!$D$2), 0, IF(OR(A80=③資金配分!$D$4, A80=③資金配分!$D$5, A80=③資金配分!$D$6, B80=③資金配分!$D$4, B80=③資金配分!$D$5, B80=③資金配分!$D$6, C80=③資金配分!$D$4, C80=③資金配分!$D$5, C80=③資金配分!$D$6), 0, IF(AND(③資金配分!$B$8&gt;0, G80&lt;=③資金配分!$B$8), 1, 0))))</f>
        <v>0</v>
      </c>
      <c r="I80">
        <f t="shared" si="3"/>
        <v>0</v>
      </c>
      <c r="J80">
        <f>IF(I80&gt;0, ROUND((I80 / SUM($I$2:$I$817)) * ③資金配分!$B$7, -2), 0)</f>
        <v>0</v>
      </c>
    </row>
    <row r="81" spans="1:10" x14ac:dyDescent="0.4">
      <c r="A81">
        <v>1</v>
      </c>
      <c r="B81">
        <v>7</v>
      </c>
      <c r="C81">
        <v>17</v>
      </c>
      <c r="D81">
        <f>IFERROR(IF(_xlfn.XLOOKUP(A81, ①オッズ入力!$A$2:$A$19, ①オッズ入力!$D$2:$D$19, "")="", 0, _xlfn.XLOOKUP(A81, ①オッズ入力!$A$2:$A$19, ①オッズ入力!$D$2:$D$19, 0)), 0)</f>
        <v>0.29775022002530088</v>
      </c>
      <c r="E81">
        <f>IFERROR(IF(_xlfn.XLOOKUP(B81, ①オッズ入力!$A$2:$A$19, ①オッズ入力!$D$2:$D$19, "")="", 0, _xlfn.XLOOKUP(B81, ①オッズ入力!$A$2:$A$19, ①オッズ入力!$D$2:$D$19, 0)), 0)</f>
        <v>2.9775022002530085E-2</v>
      </c>
      <c r="F81">
        <f>IFERROR(IF(_xlfn.XLOOKUP(C81, ①オッズ入力!$A$2:$A$19, ①オッズ入力!$D$2:$D$19, "")="", 0, _xlfn.XLOOKUP(C81, ①オッズ入力!$A$2:$A$19, ①オッズ入力!$D$2:$D$19, 0)), 0)</f>
        <v>9.1615452315477186E-3</v>
      </c>
      <c r="G81">
        <f t="shared" si="2"/>
        <v>12311.956934822132</v>
      </c>
      <c r="H81">
        <f>IF(G81="", 0, IF(OR(A81=③資金配分!$D$1, A81=③資金配分!$D$2, B81=③資金配分!$D$1, B81=③資金配分!$D$2, C81=③資金配分!$D$1, C81=③資金配分!$D$2), 0, IF(OR(A81=③資金配分!$D$4, A81=③資金配分!$D$5, A81=③資金配分!$D$6, B81=③資金配分!$D$4, B81=③資金配分!$D$5, B81=③資金配分!$D$6, C81=③資金配分!$D$4, C81=③資金配分!$D$5, C81=③資金配分!$D$6), 0, IF(AND(③資金配分!$B$8&gt;0, G81&lt;=③資金配分!$B$8), 1, 0))))</f>
        <v>0</v>
      </c>
      <c r="I81">
        <f t="shared" si="3"/>
        <v>0</v>
      </c>
      <c r="J81">
        <f>IF(I81&gt;0, ROUND((I81 / SUM($I$2:$I$817)) * ③資金配分!$B$7, -2), 0)</f>
        <v>0</v>
      </c>
    </row>
    <row r="82" spans="1:10" x14ac:dyDescent="0.4">
      <c r="A82">
        <v>1</v>
      </c>
      <c r="B82">
        <v>7</v>
      </c>
      <c r="C82">
        <v>18</v>
      </c>
      <c r="D82">
        <f>IFERROR(IF(_xlfn.XLOOKUP(A82, ①オッズ入力!$A$2:$A$19, ①オッズ入力!$D$2:$D$19, "")="", 0, _xlfn.XLOOKUP(A82, ①オッズ入力!$A$2:$A$19, ①オッズ入力!$D$2:$D$19, 0)), 0)</f>
        <v>0.29775022002530088</v>
      </c>
      <c r="E82">
        <f>IFERROR(IF(_xlfn.XLOOKUP(B82, ①オッズ入力!$A$2:$A$19, ①オッズ入力!$D$2:$D$19, "")="", 0, _xlfn.XLOOKUP(B82, ①オッズ入力!$A$2:$A$19, ①オッズ入力!$D$2:$D$19, 0)), 0)</f>
        <v>2.9775022002530085E-2</v>
      </c>
      <c r="F82">
        <f>IFERROR(IF(_xlfn.XLOOKUP(C82, ①オッズ入力!$A$2:$A$19, ①オッズ入力!$D$2:$D$19, "")="", 0, _xlfn.XLOOKUP(C82, ①オッズ入力!$A$2:$A$19, ①オッズ入力!$D$2:$D$19, 0)), 0)</f>
        <v>8.5478532064679671E-3</v>
      </c>
      <c r="G82">
        <f t="shared" si="2"/>
        <v>13195.892304501669</v>
      </c>
      <c r="H82">
        <f>IF(G82="", 0, IF(OR(A82=③資金配分!$D$1, A82=③資金配分!$D$2, B82=③資金配分!$D$1, B82=③資金配分!$D$2, C82=③資金配分!$D$1, C82=③資金配分!$D$2), 0, IF(OR(A82=③資金配分!$D$4, A82=③資金配分!$D$5, A82=③資金配分!$D$6, B82=③資金配分!$D$4, B82=③資金配分!$D$5, B82=③資金配分!$D$6, C82=③資金配分!$D$4, C82=③資金配分!$D$5, C82=③資金配分!$D$6), 0, IF(AND(③資金配分!$B$8&gt;0, G82&lt;=③資金配分!$B$8), 1, 0))))</f>
        <v>0</v>
      </c>
      <c r="I82">
        <f t="shared" si="3"/>
        <v>0</v>
      </c>
      <c r="J82">
        <f>IF(I82&gt;0, ROUND((I82 / SUM($I$2:$I$817)) * ③資金配分!$B$7, -2), 0)</f>
        <v>0</v>
      </c>
    </row>
    <row r="83" spans="1:10" x14ac:dyDescent="0.4">
      <c r="A83">
        <v>1</v>
      </c>
      <c r="B83">
        <v>8</v>
      </c>
      <c r="C83">
        <v>9</v>
      </c>
      <c r="D83">
        <f>IFERROR(IF(_xlfn.XLOOKUP(A83, ①オッズ入力!$A$2:$A$19, ①オッズ入力!$D$2:$D$19, "")="", 0, _xlfn.XLOOKUP(A83, ①オッズ入力!$A$2:$A$19, ①オッズ入力!$D$2:$D$19, 0)), 0)</f>
        <v>0.29775022002530088</v>
      </c>
      <c r="E83">
        <f>IFERROR(IF(_xlfn.XLOOKUP(B83, ①オッズ入力!$A$2:$A$19, ①オッズ入力!$D$2:$D$19, "")="", 0, _xlfn.XLOOKUP(B83, ①オッズ入力!$A$2:$A$19, ①オッズ入力!$D$2:$D$19, 0)), 0)</f>
        <v>2.3820017602024068E-2</v>
      </c>
      <c r="F83">
        <f>IFERROR(IF(_xlfn.XLOOKUP(C83, ①オッズ入力!$A$2:$A$19, ①オッズ入力!$D$2:$D$19, "")="", 0, _xlfn.XLOOKUP(C83, ①オッズ入力!$A$2:$A$19, ①オッズ入力!$D$2:$D$19, 0)), 0)</f>
        <v>1.9850014668353389E-2</v>
      </c>
      <c r="G83">
        <f t="shared" si="2"/>
        <v>7103.0520777820002</v>
      </c>
      <c r="H83">
        <f>IF(G83="", 0, IF(OR(A83=③資金配分!$D$1, A83=③資金配分!$D$2, B83=③資金配分!$D$1, B83=③資金配分!$D$2, C83=③資金配分!$D$1, C83=③資金配分!$D$2), 0, IF(OR(A83=③資金配分!$D$4, A83=③資金配分!$D$5, A83=③資金配分!$D$6, B83=③資金配分!$D$4, B83=③資金配分!$D$5, B83=③資金配分!$D$6, C83=③資金配分!$D$4, C83=③資金配分!$D$5, C83=③資金配分!$D$6), 0, IF(AND(③資金配分!$B$8&gt;0, G83&lt;=③資金配分!$B$8), 1, 0))))</f>
        <v>0</v>
      </c>
      <c r="I83">
        <f t="shared" si="3"/>
        <v>0</v>
      </c>
      <c r="J83">
        <f>IF(I83&gt;0, ROUND((I83 / SUM($I$2:$I$817)) * ③資金配分!$B$7, -2), 0)</f>
        <v>0</v>
      </c>
    </row>
    <row r="84" spans="1:10" x14ac:dyDescent="0.4">
      <c r="A84">
        <v>1</v>
      </c>
      <c r="B84">
        <v>8</v>
      </c>
      <c r="C84">
        <v>10</v>
      </c>
      <c r="D84">
        <f>IFERROR(IF(_xlfn.XLOOKUP(A84, ①オッズ入力!$A$2:$A$19, ①オッズ入力!$D$2:$D$19, "")="", 0, _xlfn.XLOOKUP(A84, ①オッズ入力!$A$2:$A$19, ①オッズ入力!$D$2:$D$19, 0)), 0)</f>
        <v>0.29775022002530088</v>
      </c>
      <c r="E84">
        <f>IFERROR(IF(_xlfn.XLOOKUP(B84, ①オッズ入力!$A$2:$A$19, ①オッズ入力!$D$2:$D$19, "")="", 0, _xlfn.XLOOKUP(B84, ①オッズ入力!$A$2:$A$19, ①オッズ入力!$D$2:$D$19, 0)), 0)</f>
        <v>2.3820017602024068E-2</v>
      </c>
      <c r="F84">
        <f>IFERROR(IF(_xlfn.XLOOKUP(C84, ①オッズ入力!$A$2:$A$19, ①オッズ入力!$D$2:$D$19, "")="", 0, _xlfn.XLOOKUP(C84, ①オッズ入力!$A$2:$A$19, ①オッズ入力!$D$2:$D$19, 0)), 0)</f>
        <v>1.7865013201518051E-2</v>
      </c>
      <c r="G84">
        <f t="shared" si="2"/>
        <v>7892.2800864244446</v>
      </c>
      <c r="H84">
        <f>IF(G84="", 0, IF(OR(A84=③資金配分!$D$1, A84=③資金配分!$D$2, B84=③資金配分!$D$1, B84=③資金配分!$D$2, C84=③資金配分!$D$1, C84=③資金配分!$D$2), 0, IF(OR(A84=③資金配分!$D$4, A84=③資金配分!$D$5, A84=③資金配分!$D$6, B84=③資金配分!$D$4, B84=③資金配分!$D$5, B84=③資金配分!$D$6, C84=③資金配分!$D$4, C84=③資金配分!$D$5, C84=③資金配分!$D$6), 0, IF(AND(③資金配分!$B$8&gt;0, G84&lt;=③資金配分!$B$8), 1, 0))))</f>
        <v>0</v>
      </c>
      <c r="I84">
        <f t="shared" si="3"/>
        <v>0</v>
      </c>
      <c r="J84">
        <f>IF(I84&gt;0, ROUND((I84 / SUM($I$2:$I$817)) * ③資金配分!$B$7, -2), 0)</f>
        <v>0</v>
      </c>
    </row>
    <row r="85" spans="1:10" x14ac:dyDescent="0.4">
      <c r="A85">
        <v>1</v>
      </c>
      <c r="B85">
        <v>8</v>
      </c>
      <c r="C85">
        <v>11</v>
      </c>
      <c r="D85">
        <f>IFERROR(IF(_xlfn.XLOOKUP(A85, ①オッズ入力!$A$2:$A$19, ①オッズ入力!$D$2:$D$19, "")="", 0, _xlfn.XLOOKUP(A85, ①オッズ入力!$A$2:$A$19, ①オッズ入力!$D$2:$D$19, 0)), 0)</f>
        <v>0.29775022002530088</v>
      </c>
      <c r="E85">
        <f>IFERROR(IF(_xlfn.XLOOKUP(B85, ①オッズ入力!$A$2:$A$19, ①オッズ入力!$D$2:$D$19, "")="", 0, _xlfn.XLOOKUP(B85, ①オッズ入力!$A$2:$A$19, ①オッズ入力!$D$2:$D$19, 0)), 0)</f>
        <v>2.3820017602024068E-2</v>
      </c>
      <c r="F85">
        <f>IFERROR(IF(_xlfn.XLOOKUP(C85, ①オッズ入力!$A$2:$A$19, ①オッズ入力!$D$2:$D$19, "")="", 0, _xlfn.XLOOKUP(C85, ①オッズ入力!$A$2:$A$19, ①オッズ入力!$D$2:$D$19, 0)), 0)</f>
        <v>1.6240921092289137E-2</v>
      </c>
      <c r="G85">
        <f t="shared" si="2"/>
        <v>8681.5080950668889</v>
      </c>
      <c r="H85">
        <f>IF(G85="", 0, IF(OR(A85=③資金配分!$D$1, A85=③資金配分!$D$2, B85=③資金配分!$D$1, B85=③資金配分!$D$2, C85=③資金配分!$D$1, C85=③資金配分!$D$2), 0, IF(OR(A85=③資金配分!$D$4, A85=③資金配分!$D$5, A85=③資金配分!$D$6, B85=③資金配分!$D$4, B85=③資金配分!$D$5, B85=③資金配分!$D$6, C85=③資金配分!$D$4, C85=③資金配分!$D$5, C85=③資金配分!$D$6), 0, IF(AND(③資金配分!$B$8&gt;0, G85&lt;=③資金配分!$B$8), 1, 0))))</f>
        <v>0</v>
      </c>
      <c r="I85">
        <f t="shared" si="3"/>
        <v>0</v>
      </c>
      <c r="J85">
        <f>IF(I85&gt;0, ROUND((I85 / SUM($I$2:$I$817)) * ③資金配分!$B$7, -2), 0)</f>
        <v>0</v>
      </c>
    </row>
    <row r="86" spans="1:10" x14ac:dyDescent="0.4">
      <c r="A86">
        <v>1</v>
      </c>
      <c r="B86">
        <v>8</v>
      </c>
      <c r="C86">
        <v>12</v>
      </c>
      <c r="D86">
        <f>IFERROR(IF(_xlfn.XLOOKUP(A86, ①オッズ入力!$A$2:$A$19, ①オッズ入力!$D$2:$D$19, "")="", 0, _xlfn.XLOOKUP(A86, ①オッズ入力!$A$2:$A$19, ①オッズ入力!$D$2:$D$19, 0)), 0)</f>
        <v>0.29775022002530088</v>
      </c>
      <c r="E86">
        <f>IFERROR(IF(_xlfn.XLOOKUP(B86, ①オッズ入力!$A$2:$A$19, ①オッズ入力!$D$2:$D$19, "")="", 0, _xlfn.XLOOKUP(B86, ①オッズ入力!$A$2:$A$19, ①オッズ入力!$D$2:$D$19, 0)), 0)</f>
        <v>2.3820017602024068E-2</v>
      </c>
      <c r="F86">
        <f>IFERROR(IF(_xlfn.XLOOKUP(C86, ①オッズ入力!$A$2:$A$19, ①オッズ入力!$D$2:$D$19, "")="", 0, _xlfn.XLOOKUP(C86, ①オッズ入力!$A$2:$A$19, ①オッズ入力!$D$2:$D$19, 0)), 0)</f>
        <v>1.4887511001265043E-2</v>
      </c>
      <c r="G86">
        <f t="shared" si="2"/>
        <v>9470.7361037093324</v>
      </c>
      <c r="H86">
        <f>IF(G86="", 0, IF(OR(A86=③資金配分!$D$1, A86=③資金配分!$D$2, B86=③資金配分!$D$1, B86=③資金配分!$D$2, C86=③資金配分!$D$1, C86=③資金配分!$D$2), 0, IF(OR(A86=③資金配分!$D$4, A86=③資金配分!$D$5, A86=③資金配分!$D$6, B86=③資金配分!$D$4, B86=③資金配分!$D$5, B86=③資金配分!$D$6, C86=③資金配分!$D$4, C86=③資金配分!$D$5, C86=③資金配分!$D$6), 0, IF(AND(③資金配分!$B$8&gt;0, G86&lt;=③資金配分!$B$8), 1, 0))))</f>
        <v>0</v>
      </c>
      <c r="I86">
        <f t="shared" si="3"/>
        <v>0</v>
      </c>
      <c r="J86">
        <f>IF(I86&gt;0, ROUND((I86 / SUM($I$2:$I$817)) * ③資金配分!$B$7, -2), 0)</f>
        <v>0</v>
      </c>
    </row>
    <row r="87" spans="1:10" x14ac:dyDescent="0.4">
      <c r="A87">
        <v>1</v>
      </c>
      <c r="B87">
        <v>8</v>
      </c>
      <c r="C87">
        <v>13</v>
      </c>
      <c r="D87">
        <f>IFERROR(IF(_xlfn.XLOOKUP(A87, ①オッズ入力!$A$2:$A$19, ①オッズ入力!$D$2:$D$19, "")="", 0, _xlfn.XLOOKUP(A87, ①オッズ入力!$A$2:$A$19, ①オッズ入力!$D$2:$D$19, 0)), 0)</f>
        <v>0.29775022002530088</v>
      </c>
      <c r="E87">
        <f>IFERROR(IF(_xlfn.XLOOKUP(B87, ①オッズ入力!$A$2:$A$19, ①オッズ入力!$D$2:$D$19, "")="", 0, _xlfn.XLOOKUP(B87, ①オッズ入力!$A$2:$A$19, ①オッズ入力!$D$2:$D$19, 0)), 0)</f>
        <v>2.3820017602024068E-2</v>
      </c>
      <c r="F87">
        <f>IFERROR(IF(_xlfn.XLOOKUP(C87, ①オッズ入力!$A$2:$A$19, ①オッズ入力!$D$2:$D$19, "")="", 0, _xlfn.XLOOKUP(C87, ①オッズ入力!$A$2:$A$19, ①オッズ入力!$D$2:$D$19, 0)), 0)</f>
        <v>1.2760723715370036E-2</v>
      </c>
      <c r="G87">
        <f t="shared" si="2"/>
        <v>11049.192120994223</v>
      </c>
      <c r="H87">
        <f>IF(G87="", 0, IF(OR(A87=③資金配分!$D$1, A87=③資金配分!$D$2, B87=③資金配分!$D$1, B87=③資金配分!$D$2, C87=③資金配分!$D$1, C87=③資金配分!$D$2), 0, IF(OR(A87=③資金配分!$D$4, A87=③資金配分!$D$5, A87=③資金配分!$D$6, B87=③資金配分!$D$4, B87=③資金配分!$D$5, B87=③資金配分!$D$6, C87=③資金配分!$D$4, C87=③資金配分!$D$5, C87=③資金配分!$D$6), 0, IF(AND(③資金配分!$B$8&gt;0, G87&lt;=③資金配分!$B$8), 1, 0))))</f>
        <v>0</v>
      </c>
      <c r="I87">
        <f t="shared" si="3"/>
        <v>0</v>
      </c>
      <c r="J87">
        <f>IF(I87&gt;0, ROUND((I87 / SUM($I$2:$I$817)) * ③資金配分!$B$7, -2), 0)</f>
        <v>0</v>
      </c>
    </row>
    <row r="88" spans="1:10" x14ac:dyDescent="0.4">
      <c r="A88">
        <v>1</v>
      </c>
      <c r="B88">
        <v>8</v>
      </c>
      <c r="C88">
        <v>14</v>
      </c>
      <c r="D88">
        <f>IFERROR(IF(_xlfn.XLOOKUP(A88, ①オッズ入力!$A$2:$A$19, ①オッズ入力!$D$2:$D$19, "")="", 0, _xlfn.XLOOKUP(A88, ①オッズ入力!$A$2:$A$19, ①オッズ入力!$D$2:$D$19, 0)), 0)</f>
        <v>0.29775022002530088</v>
      </c>
      <c r="E88">
        <f>IFERROR(IF(_xlfn.XLOOKUP(B88, ①オッズ入力!$A$2:$A$19, ①オッズ入力!$D$2:$D$19, "")="", 0, _xlfn.XLOOKUP(B88, ①オッズ入力!$A$2:$A$19, ①オッズ入力!$D$2:$D$19, 0)), 0)</f>
        <v>2.3820017602024068E-2</v>
      </c>
      <c r="F88">
        <f>IFERROR(IF(_xlfn.XLOOKUP(C88, ①オッズ入力!$A$2:$A$19, ①オッズ入力!$D$2:$D$19, "")="", 0, _xlfn.XLOOKUP(C88, ①オッズ入力!$A$2:$A$19, ①オッズ入力!$D$2:$D$19, 0)), 0)</f>
        <v>1.1525814968721322E-2</v>
      </c>
      <c r="G88">
        <f t="shared" si="2"/>
        <v>12233.034133957888</v>
      </c>
      <c r="H88">
        <f>IF(G88="", 0, IF(OR(A88=③資金配分!$D$1, A88=③資金配分!$D$2, B88=③資金配分!$D$1, B88=③資金配分!$D$2, C88=③資金配分!$D$1, C88=③資金配分!$D$2), 0, IF(OR(A88=③資金配分!$D$4, A88=③資金配分!$D$5, A88=③資金配分!$D$6, B88=③資金配分!$D$4, B88=③資金配分!$D$5, B88=③資金配分!$D$6, C88=③資金配分!$D$4, C88=③資金配分!$D$5, C88=③資金配分!$D$6), 0, IF(AND(③資金配分!$B$8&gt;0, G88&lt;=③資金配分!$B$8), 1, 0))))</f>
        <v>0</v>
      </c>
      <c r="I88">
        <f t="shared" si="3"/>
        <v>0</v>
      </c>
      <c r="J88">
        <f>IF(I88&gt;0, ROUND((I88 / SUM($I$2:$I$817)) * ③資金配分!$B$7, -2), 0)</f>
        <v>0</v>
      </c>
    </row>
    <row r="89" spans="1:10" x14ac:dyDescent="0.4">
      <c r="A89">
        <v>1</v>
      </c>
      <c r="B89">
        <v>8</v>
      </c>
      <c r="C89">
        <v>15</v>
      </c>
      <c r="D89">
        <f>IFERROR(IF(_xlfn.XLOOKUP(A89, ①オッズ入力!$A$2:$A$19, ①オッズ入力!$D$2:$D$19, "")="", 0, _xlfn.XLOOKUP(A89, ①オッズ入力!$A$2:$A$19, ①オッズ入力!$D$2:$D$19, 0)), 0)</f>
        <v>0.29775022002530088</v>
      </c>
      <c r="E89">
        <f>IFERROR(IF(_xlfn.XLOOKUP(B89, ①オッズ入力!$A$2:$A$19, ①オッズ入力!$D$2:$D$19, "")="", 0, _xlfn.XLOOKUP(B89, ①オッズ入力!$A$2:$A$19, ①オッズ入力!$D$2:$D$19, 0)), 0)</f>
        <v>2.3820017602024068E-2</v>
      </c>
      <c r="F89">
        <f>IFERROR(IF(_xlfn.XLOOKUP(C89, ①オッズ入力!$A$2:$A$19, ①オッズ入力!$D$2:$D$19, "")="", 0, _xlfn.XLOOKUP(C89, ①オッズ入力!$A$2:$A$19, ①オッズ入力!$D$2:$D$19, 0)), 0)</f>
        <v>1.0697612695519792E-2</v>
      </c>
      <c r="G89">
        <f t="shared" si="2"/>
        <v>13180.107744328823</v>
      </c>
      <c r="H89">
        <f>IF(G89="", 0, IF(OR(A89=③資金配分!$D$1, A89=③資金配分!$D$2, B89=③資金配分!$D$1, B89=③資金配分!$D$2, C89=③資金配分!$D$1, C89=③資金配分!$D$2), 0, IF(OR(A89=③資金配分!$D$4, A89=③資金配分!$D$5, A89=③資金配分!$D$6, B89=③資金配分!$D$4, B89=③資金配分!$D$5, B89=③資金配分!$D$6, C89=③資金配分!$D$4, C89=③資金配分!$D$5, C89=③資金配分!$D$6), 0, IF(AND(③資金配分!$B$8&gt;0, G89&lt;=③資金配分!$B$8), 1, 0))))</f>
        <v>0</v>
      </c>
      <c r="I89">
        <f t="shared" si="3"/>
        <v>0</v>
      </c>
      <c r="J89">
        <f>IF(I89&gt;0, ROUND((I89 / SUM($I$2:$I$817)) * ③資金配分!$B$7, -2), 0)</f>
        <v>0</v>
      </c>
    </row>
    <row r="90" spans="1:10" x14ac:dyDescent="0.4">
      <c r="A90">
        <v>1</v>
      </c>
      <c r="B90">
        <v>8</v>
      </c>
      <c r="C90">
        <v>16</v>
      </c>
      <c r="D90">
        <f>IFERROR(IF(_xlfn.XLOOKUP(A90, ①オッズ入力!$A$2:$A$19, ①オッズ入力!$D$2:$D$19, "")="", 0, _xlfn.XLOOKUP(A90, ①オッズ入力!$A$2:$A$19, ①オッズ入力!$D$2:$D$19, 0)), 0)</f>
        <v>0.29775022002530088</v>
      </c>
      <c r="E90">
        <f>IFERROR(IF(_xlfn.XLOOKUP(B90, ①オッズ入力!$A$2:$A$19, ①オッズ入力!$D$2:$D$19, "")="", 0, _xlfn.XLOOKUP(B90, ①オッズ入力!$A$2:$A$19, ①オッズ入力!$D$2:$D$19, 0)), 0)</f>
        <v>2.3820017602024068E-2</v>
      </c>
      <c r="F90">
        <f>IFERROR(IF(_xlfn.XLOOKUP(C90, ①オッズ入力!$A$2:$A$19, ①オッズ入力!$D$2:$D$19, "")="", 0, _xlfn.XLOOKUP(C90, ①オッズ入力!$A$2:$A$19, ①オッズ入力!$D$2:$D$19, 0)), 0)</f>
        <v>9.8701730395127345E-3</v>
      </c>
      <c r="G90">
        <f t="shared" si="2"/>
        <v>14285.026956428246</v>
      </c>
      <c r="H90">
        <f>IF(G90="", 0, IF(OR(A90=③資金配分!$D$1, A90=③資金配分!$D$2, B90=③資金配分!$D$1, B90=③資金配分!$D$2, C90=③資金配分!$D$1, C90=③資金配分!$D$2), 0, IF(OR(A90=③資金配分!$D$4, A90=③資金配分!$D$5, A90=③資金配分!$D$6, B90=③資金配分!$D$4, B90=③資金配分!$D$5, B90=③資金配分!$D$6, C90=③資金配分!$D$4, C90=③資金配分!$D$5, C90=③資金配分!$D$6), 0, IF(AND(③資金配分!$B$8&gt;0, G90&lt;=③資金配分!$B$8), 1, 0))))</f>
        <v>0</v>
      </c>
      <c r="I90">
        <f t="shared" si="3"/>
        <v>0</v>
      </c>
      <c r="J90">
        <f>IF(I90&gt;0, ROUND((I90 / SUM($I$2:$I$817)) * ③資金配分!$B$7, -2), 0)</f>
        <v>0</v>
      </c>
    </row>
    <row r="91" spans="1:10" x14ac:dyDescent="0.4">
      <c r="A91">
        <v>1</v>
      </c>
      <c r="B91">
        <v>8</v>
      </c>
      <c r="C91">
        <v>17</v>
      </c>
      <c r="D91">
        <f>IFERROR(IF(_xlfn.XLOOKUP(A91, ①オッズ入力!$A$2:$A$19, ①オッズ入力!$D$2:$D$19, "")="", 0, _xlfn.XLOOKUP(A91, ①オッズ入力!$A$2:$A$19, ①オッズ入力!$D$2:$D$19, 0)), 0)</f>
        <v>0.29775022002530088</v>
      </c>
      <c r="E91">
        <f>IFERROR(IF(_xlfn.XLOOKUP(B91, ①オッズ入力!$A$2:$A$19, ①オッズ入力!$D$2:$D$19, "")="", 0, _xlfn.XLOOKUP(B91, ①オッズ入力!$A$2:$A$19, ①オッズ入力!$D$2:$D$19, 0)), 0)</f>
        <v>2.3820017602024068E-2</v>
      </c>
      <c r="F91">
        <f>IFERROR(IF(_xlfn.XLOOKUP(C91, ①オッズ入力!$A$2:$A$19, ①オッズ入力!$D$2:$D$19, "")="", 0, _xlfn.XLOOKUP(C91, ①オッズ入力!$A$2:$A$19, ①オッズ入力!$D$2:$D$19, 0)), 0)</f>
        <v>9.1615452315477186E-3</v>
      </c>
      <c r="G91">
        <f t="shared" si="2"/>
        <v>15389.946168527667</v>
      </c>
      <c r="H91">
        <f>IF(G91="", 0, IF(OR(A91=③資金配分!$D$1, A91=③資金配分!$D$2, B91=③資金配分!$D$1, B91=③資金配分!$D$2, C91=③資金配分!$D$1, C91=③資金配分!$D$2), 0, IF(OR(A91=③資金配分!$D$4, A91=③資金配分!$D$5, A91=③資金配分!$D$6, B91=③資金配分!$D$4, B91=③資金配分!$D$5, B91=③資金配分!$D$6, C91=③資金配分!$D$4, C91=③資金配分!$D$5, C91=③資金配分!$D$6), 0, IF(AND(③資金配分!$B$8&gt;0, G91&lt;=③資金配分!$B$8), 1, 0))))</f>
        <v>0</v>
      </c>
      <c r="I91">
        <f t="shared" si="3"/>
        <v>0</v>
      </c>
      <c r="J91">
        <f>IF(I91&gt;0, ROUND((I91 / SUM($I$2:$I$817)) * ③資金配分!$B$7, -2), 0)</f>
        <v>0</v>
      </c>
    </row>
    <row r="92" spans="1:10" x14ac:dyDescent="0.4">
      <c r="A92">
        <v>1</v>
      </c>
      <c r="B92">
        <v>8</v>
      </c>
      <c r="C92">
        <v>18</v>
      </c>
      <c r="D92">
        <f>IFERROR(IF(_xlfn.XLOOKUP(A92, ①オッズ入力!$A$2:$A$19, ①オッズ入力!$D$2:$D$19, "")="", 0, _xlfn.XLOOKUP(A92, ①オッズ入力!$A$2:$A$19, ①オッズ入力!$D$2:$D$19, 0)), 0)</f>
        <v>0.29775022002530088</v>
      </c>
      <c r="E92">
        <f>IFERROR(IF(_xlfn.XLOOKUP(B92, ①オッズ入力!$A$2:$A$19, ①オッズ入力!$D$2:$D$19, "")="", 0, _xlfn.XLOOKUP(B92, ①オッズ入力!$A$2:$A$19, ①オッズ入力!$D$2:$D$19, 0)), 0)</f>
        <v>2.3820017602024068E-2</v>
      </c>
      <c r="F92">
        <f>IFERROR(IF(_xlfn.XLOOKUP(C92, ①オッズ入力!$A$2:$A$19, ①オッズ入力!$D$2:$D$19, "")="", 0, _xlfn.XLOOKUP(C92, ①オッズ入力!$A$2:$A$19, ①オッズ入力!$D$2:$D$19, 0)), 0)</f>
        <v>8.5478532064679671E-3</v>
      </c>
      <c r="G92">
        <f t="shared" si="2"/>
        <v>16494.865380627089</v>
      </c>
      <c r="H92">
        <f>IF(G92="", 0, IF(OR(A92=③資金配分!$D$1, A92=③資金配分!$D$2, B92=③資金配分!$D$1, B92=③資金配分!$D$2, C92=③資金配分!$D$1, C92=③資金配分!$D$2), 0, IF(OR(A92=③資金配分!$D$4, A92=③資金配分!$D$5, A92=③資金配分!$D$6, B92=③資金配分!$D$4, B92=③資金配分!$D$5, B92=③資金配分!$D$6, C92=③資金配分!$D$4, C92=③資金配分!$D$5, C92=③資金配分!$D$6), 0, IF(AND(③資金配分!$B$8&gt;0, G92&lt;=③資金配分!$B$8), 1, 0))))</f>
        <v>0</v>
      </c>
      <c r="I92">
        <f t="shared" si="3"/>
        <v>0</v>
      </c>
      <c r="J92">
        <f>IF(I92&gt;0, ROUND((I92 / SUM($I$2:$I$817)) * ③資金配分!$B$7, -2), 0)</f>
        <v>0</v>
      </c>
    </row>
    <row r="93" spans="1:10" x14ac:dyDescent="0.4">
      <c r="A93">
        <v>1</v>
      </c>
      <c r="B93">
        <v>9</v>
      </c>
      <c r="C93">
        <v>10</v>
      </c>
      <c r="D93">
        <f>IFERROR(IF(_xlfn.XLOOKUP(A93, ①オッズ入力!$A$2:$A$19, ①オッズ入力!$D$2:$D$19, "")="", 0, _xlfn.XLOOKUP(A93, ①オッズ入力!$A$2:$A$19, ①オッズ入力!$D$2:$D$19, 0)), 0)</f>
        <v>0.29775022002530088</v>
      </c>
      <c r="E93">
        <f>IFERROR(IF(_xlfn.XLOOKUP(B93, ①オッズ入力!$A$2:$A$19, ①オッズ入力!$D$2:$D$19, "")="", 0, _xlfn.XLOOKUP(B93, ①オッズ入力!$A$2:$A$19, ①オッズ入力!$D$2:$D$19, 0)), 0)</f>
        <v>1.9850014668353389E-2</v>
      </c>
      <c r="F93">
        <f>IFERROR(IF(_xlfn.XLOOKUP(C93, ①オッズ入力!$A$2:$A$19, ①オッズ入力!$D$2:$D$19, "")="", 0, _xlfn.XLOOKUP(C93, ①オッズ入力!$A$2:$A$19, ①オッズ入力!$D$2:$D$19, 0)), 0)</f>
        <v>1.7865013201518051E-2</v>
      </c>
      <c r="G93">
        <f t="shared" si="2"/>
        <v>9470.7361037093324</v>
      </c>
      <c r="H93">
        <f>IF(G93="", 0, IF(OR(A93=③資金配分!$D$1, A93=③資金配分!$D$2, B93=③資金配分!$D$1, B93=③資金配分!$D$2, C93=③資金配分!$D$1, C93=③資金配分!$D$2), 0, IF(OR(A93=③資金配分!$D$4, A93=③資金配分!$D$5, A93=③資金配分!$D$6, B93=③資金配分!$D$4, B93=③資金配分!$D$5, B93=③資金配分!$D$6, C93=③資金配分!$D$4, C93=③資金配分!$D$5, C93=③資金配分!$D$6), 0, IF(AND(③資金配分!$B$8&gt;0, G93&lt;=③資金配分!$B$8), 1, 0))))</f>
        <v>0</v>
      </c>
      <c r="I93">
        <f t="shared" si="3"/>
        <v>0</v>
      </c>
      <c r="J93">
        <f>IF(I93&gt;0, ROUND((I93 / SUM($I$2:$I$817)) * ③資金配分!$B$7, -2), 0)</f>
        <v>0</v>
      </c>
    </row>
    <row r="94" spans="1:10" x14ac:dyDescent="0.4">
      <c r="A94">
        <v>1</v>
      </c>
      <c r="B94">
        <v>9</v>
      </c>
      <c r="C94">
        <v>11</v>
      </c>
      <c r="D94">
        <f>IFERROR(IF(_xlfn.XLOOKUP(A94, ①オッズ入力!$A$2:$A$19, ①オッズ入力!$D$2:$D$19, "")="", 0, _xlfn.XLOOKUP(A94, ①オッズ入力!$A$2:$A$19, ①オッズ入力!$D$2:$D$19, 0)), 0)</f>
        <v>0.29775022002530088</v>
      </c>
      <c r="E94">
        <f>IFERROR(IF(_xlfn.XLOOKUP(B94, ①オッズ入力!$A$2:$A$19, ①オッズ入力!$D$2:$D$19, "")="", 0, _xlfn.XLOOKUP(B94, ①オッズ入力!$A$2:$A$19, ①オッズ入力!$D$2:$D$19, 0)), 0)</f>
        <v>1.9850014668353389E-2</v>
      </c>
      <c r="F94">
        <f>IFERROR(IF(_xlfn.XLOOKUP(C94, ①オッズ入力!$A$2:$A$19, ①オッズ入力!$D$2:$D$19, "")="", 0, _xlfn.XLOOKUP(C94, ①オッズ入力!$A$2:$A$19, ①オッズ入力!$D$2:$D$19, 0)), 0)</f>
        <v>1.6240921092289137E-2</v>
      </c>
      <c r="G94">
        <f t="shared" si="2"/>
        <v>10417.809714080267</v>
      </c>
      <c r="H94">
        <f>IF(G94="", 0, IF(OR(A94=③資金配分!$D$1, A94=③資金配分!$D$2, B94=③資金配分!$D$1, B94=③資金配分!$D$2, C94=③資金配分!$D$1, C94=③資金配分!$D$2), 0, IF(OR(A94=③資金配分!$D$4, A94=③資金配分!$D$5, A94=③資金配分!$D$6, B94=③資金配分!$D$4, B94=③資金配分!$D$5, B94=③資金配分!$D$6, C94=③資金配分!$D$4, C94=③資金配分!$D$5, C94=③資金配分!$D$6), 0, IF(AND(③資金配分!$B$8&gt;0, G94&lt;=③資金配分!$B$8), 1, 0))))</f>
        <v>0</v>
      </c>
      <c r="I94">
        <f t="shared" si="3"/>
        <v>0</v>
      </c>
      <c r="J94">
        <f>IF(I94&gt;0, ROUND((I94 / SUM($I$2:$I$817)) * ③資金配分!$B$7, -2), 0)</f>
        <v>0</v>
      </c>
    </row>
    <row r="95" spans="1:10" x14ac:dyDescent="0.4">
      <c r="A95">
        <v>1</v>
      </c>
      <c r="B95">
        <v>9</v>
      </c>
      <c r="C95">
        <v>12</v>
      </c>
      <c r="D95">
        <f>IFERROR(IF(_xlfn.XLOOKUP(A95, ①オッズ入力!$A$2:$A$19, ①オッズ入力!$D$2:$D$19, "")="", 0, _xlfn.XLOOKUP(A95, ①オッズ入力!$A$2:$A$19, ①オッズ入力!$D$2:$D$19, 0)), 0)</f>
        <v>0.29775022002530088</v>
      </c>
      <c r="E95">
        <f>IFERROR(IF(_xlfn.XLOOKUP(B95, ①オッズ入力!$A$2:$A$19, ①オッズ入力!$D$2:$D$19, "")="", 0, _xlfn.XLOOKUP(B95, ①オッズ入力!$A$2:$A$19, ①オッズ入力!$D$2:$D$19, 0)), 0)</f>
        <v>1.9850014668353389E-2</v>
      </c>
      <c r="F95">
        <f>IFERROR(IF(_xlfn.XLOOKUP(C95, ①オッズ入力!$A$2:$A$19, ①オッズ入力!$D$2:$D$19, "")="", 0, _xlfn.XLOOKUP(C95, ①オッズ入力!$A$2:$A$19, ①オッズ入力!$D$2:$D$19, 0)), 0)</f>
        <v>1.4887511001265043E-2</v>
      </c>
      <c r="G95">
        <f t="shared" si="2"/>
        <v>11364.883324451201</v>
      </c>
      <c r="H95">
        <f>IF(G95="", 0, IF(OR(A95=③資金配分!$D$1, A95=③資金配分!$D$2, B95=③資金配分!$D$1, B95=③資金配分!$D$2, C95=③資金配分!$D$1, C95=③資金配分!$D$2), 0, IF(OR(A95=③資金配分!$D$4, A95=③資金配分!$D$5, A95=③資金配分!$D$6, B95=③資金配分!$D$4, B95=③資金配分!$D$5, B95=③資金配分!$D$6, C95=③資金配分!$D$4, C95=③資金配分!$D$5, C95=③資金配分!$D$6), 0, IF(AND(③資金配分!$B$8&gt;0, G95&lt;=③資金配分!$B$8), 1, 0))))</f>
        <v>0</v>
      </c>
      <c r="I95">
        <f t="shared" si="3"/>
        <v>0</v>
      </c>
      <c r="J95">
        <f>IF(I95&gt;0, ROUND((I95 / SUM($I$2:$I$817)) * ③資金配分!$B$7, -2), 0)</f>
        <v>0</v>
      </c>
    </row>
    <row r="96" spans="1:10" x14ac:dyDescent="0.4">
      <c r="A96">
        <v>1</v>
      </c>
      <c r="B96">
        <v>9</v>
      </c>
      <c r="C96">
        <v>13</v>
      </c>
      <c r="D96">
        <f>IFERROR(IF(_xlfn.XLOOKUP(A96, ①オッズ入力!$A$2:$A$19, ①オッズ入力!$D$2:$D$19, "")="", 0, _xlfn.XLOOKUP(A96, ①オッズ入力!$A$2:$A$19, ①オッズ入力!$D$2:$D$19, 0)), 0)</f>
        <v>0.29775022002530088</v>
      </c>
      <c r="E96">
        <f>IFERROR(IF(_xlfn.XLOOKUP(B96, ①オッズ入力!$A$2:$A$19, ①オッズ入力!$D$2:$D$19, "")="", 0, _xlfn.XLOOKUP(B96, ①オッズ入力!$A$2:$A$19, ①オッズ入力!$D$2:$D$19, 0)), 0)</f>
        <v>1.9850014668353389E-2</v>
      </c>
      <c r="F96">
        <f>IFERROR(IF(_xlfn.XLOOKUP(C96, ①オッズ入力!$A$2:$A$19, ①オッズ入力!$D$2:$D$19, "")="", 0, _xlfn.XLOOKUP(C96, ①オッズ入力!$A$2:$A$19, ①オッズ入力!$D$2:$D$19, 0)), 0)</f>
        <v>1.2760723715370036E-2</v>
      </c>
      <c r="G96">
        <f t="shared" si="2"/>
        <v>13259.030545193067</v>
      </c>
      <c r="H96">
        <f>IF(G96="", 0, IF(OR(A96=③資金配分!$D$1, A96=③資金配分!$D$2, B96=③資金配分!$D$1, B96=③資金配分!$D$2, C96=③資金配分!$D$1, C96=③資金配分!$D$2), 0, IF(OR(A96=③資金配分!$D$4, A96=③資金配分!$D$5, A96=③資金配分!$D$6, B96=③資金配分!$D$4, B96=③資金配分!$D$5, B96=③資金配分!$D$6, C96=③資金配分!$D$4, C96=③資金配分!$D$5, C96=③資金配分!$D$6), 0, IF(AND(③資金配分!$B$8&gt;0, G96&lt;=③資金配分!$B$8), 1, 0))))</f>
        <v>0</v>
      </c>
      <c r="I96">
        <f t="shared" si="3"/>
        <v>0</v>
      </c>
      <c r="J96">
        <f>IF(I96&gt;0, ROUND((I96 / SUM($I$2:$I$817)) * ③資金配分!$B$7, -2), 0)</f>
        <v>0</v>
      </c>
    </row>
    <row r="97" spans="1:10" x14ac:dyDescent="0.4">
      <c r="A97">
        <v>1</v>
      </c>
      <c r="B97">
        <v>9</v>
      </c>
      <c r="C97">
        <v>14</v>
      </c>
      <c r="D97">
        <f>IFERROR(IF(_xlfn.XLOOKUP(A97, ①オッズ入力!$A$2:$A$19, ①オッズ入力!$D$2:$D$19, "")="", 0, _xlfn.XLOOKUP(A97, ①オッズ入力!$A$2:$A$19, ①オッズ入力!$D$2:$D$19, 0)), 0)</f>
        <v>0.29775022002530088</v>
      </c>
      <c r="E97">
        <f>IFERROR(IF(_xlfn.XLOOKUP(B97, ①オッズ入力!$A$2:$A$19, ①オッズ入力!$D$2:$D$19, "")="", 0, _xlfn.XLOOKUP(B97, ①オッズ入力!$A$2:$A$19, ①オッズ入力!$D$2:$D$19, 0)), 0)</f>
        <v>1.9850014668353389E-2</v>
      </c>
      <c r="F97">
        <f>IFERROR(IF(_xlfn.XLOOKUP(C97, ①オッズ入力!$A$2:$A$19, ①オッズ入力!$D$2:$D$19, "")="", 0, _xlfn.XLOOKUP(C97, ①オッズ入力!$A$2:$A$19, ①オッズ入力!$D$2:$D$19, 0)), 0)</f>
        <v>1.1525814968721322E-2</v>
      </c>
      <c r="G97">
        <f t="shared" si="2"/>
        <v>14679.64096074947</v>
      </c>
      <c r="H97">
        <f>IF(G97="", 0, IF(OR(A97=③資金配分!$D$1, A97=③資金配分!$D$2, B97=③資金配分!$D$1, B97=③資金配分!$D$2, C97=③資金配分!$D$1, C97=③資金配分!$D$2), 0, IF(OR(A97=③資金配分!$D$4, A97=③資金配分!$D$5, A97=③資金配分!$D$6, B97=③資金配分!$D$4, B97=③資金配分!$D$5, B97=③資金配分!$D$6, C97=③資金配分!$D$4, C97=③資金配分!$D$5, C97=③資金配分!$D$6), 0, IF(AND(③資金配分!$B$8&gt;0, G97&lt;=③資金配分!$B$8), 1, 0))))</f>
        <v>0</v>
      </c>
      <c r="I97">
        <f t="shared" si="3"/>
        <v>0</v>
      </c>
      <c r="J97">
        <f>IF(I97&gt;0, ROUND((I97 / SUM($I$2:$I$817)) * ③資金配分!$B$7, -2), 0)</f>
        <v>0</v>
      </c>
    </row>
    <row r="98" spans="1:10" x14ac:dyDescent="0.4">
      <c r="A98">
        <v>1</v>
      </c>
      <c r="B98">
        <v>9</v>
      </c>
      <c r="C98">
        <v>15</v>
      </c>
      <c r="D98">
        <f>IFERROR(IF(_xlfn.XLOOKUP(A98, ①オッズ入力!$A$2:$A$19, ①オッズ入力!$D$2:$D$19, "")="", 0, _xlfn.XLOOKUP(A98, ①オッズ入力!$A$2:$A$19, ①オッズ入力!$D$2:$D$19, 0)), 0)</f>
        <v>0.29775022002530088</v>
      </c>
      <c r="E98">
        <f>IFERROR(IF(_xlfn.XLOOKUP(B98, ①オッズ入力!$A$2:$A$19, ①オッズ入力!$D$2:$D$19, "")="", 0, _xlfn.XLOOKUP(B98, ①オッズ入力!$A$2:$A$19, ①オッズ入力!$D$2:$D$19, 0)), 0)</f>
        <v>1.9850014668353389E-2</v>
      </c>
      <c r="F98">
        <f>IFERROR(IF(_xlfn.XLOOKUP(C98, ①オッズ入力!$A$2:$A$19, ①オッズ入力!$D$2:$D$19, "")="", 0, _xlfn.XLOOKUP(C98, ①オッズ入力!$A$2:$A$19, ①オッズ入力!$D$2:$D$19, 0)), 0)</f>
        <v>1.0697612695519792E-2</v>
      </c>
      <c r="G98">
        <f t="shared" si="2"/>
        <v>15816.129293194588</v>
      </c>
      <c r="H98">
        <f>IF(G98="", 0, IF(OR(A98=③資金配分!$D$1, A98=③資金配分!$D$2, B98=③資金配分!$D$1, B98=③資金配分!$D$2, C98=③資金配分!$D$1, C98=③資金配分!$D$2), 0, IF(OR(A98=③資金配分!$D$4, A98=③資金配分!$D$5, A98=③資金配分!$D$6, B98=③資金配分!$D$4, B98=③資金配分!$D$5, B98=③資金配分!$D$6, C98=③資金配分!$D$4, C98=③資金配分!$D$5, C98=③資金配分!$D$6), 0, IF(AND(③資金配分!$B$8&gt;0, G98&lt;=③資金配分!$B$8), 1, 0))))</f>
        <v>0</v>
      </c>
      <c r="I98">
        <f t="shared" si="3"/>
        <v>0</v>
      </c>
      <c r="J98">
        <f>IF(I98&gt;0, ROUND((I98 / SUM($I$2:$I$817)) * ③資金配分!$B$7, -2), 0)</f>
        <v>0</v>
      </c>
    </row>
    <row r="99" spans="1:10" x14ac:dyDescent="0.4">
      <c r="A99">
        <v>1</v>
      </c>
      <c r="B99">
        <v>9</v>
      </c>
      <c r="C99">
        <v>16</v>
      </c>
      <c r="D99">
        <f>IFERROR(IF(_xlfn.XLOOKUP(A99, ①オッズ入力!$A$2:$A$19, ①オッズ入力!$D$2:$D$19, "")="", 0, _xlfn.XLOOKUP(A99, ①オッズ入力!$A$2:$A$19, ①オッズ入力!$D$2:$D$19, 0)), 0)</f>
        <v>0.29775022002530088</v>
      </c>
      <c r="E99">
        <f>IFERROR(IF(_xlfn.XLOOKUP(B99, ①オッズ入力!$A$2:$A$19, ①オッズ入力!$D$2:$D$19, "")="", 0, _xlfn.XLOOKUP(B99, ①オッズ入力!$A$2:$A$19, ①オッズ入力!$D$2:$D$19, 0)), 0)</f>
        <v>1.9850014668353389E-2</v>
      </c>
      <c r="F99">
        <f>IFERROR(IF(_xlfn.XLOOKUP(C99, ①オッズ入力!$A$2:$A$19, ①オッズ入力!$D$2:$D$19, "")="", 0, _xlfn.XLOOKUP(C99, ①オッズ入力!$A$2:$A$19, ①オッズ入力!$D$2:$D$19, 0)), 0)</f>
        <v>9.8701730395127345E-3</v>
      </c>
      <c r="G99">
        <f t="shared" si="2"/>
        <v>17142.032347713895</v>
      </c>
      <c r="H99">
        <f>IF(G99="", 0, IF(OR(A99=③資金配分!$D$1, A99=③資金配分!$D$2, B99=③資金配分!$D$1, B99=③資金配分!$D$2, C99=③資金配分!$D$1, C99=③資金配分!$D$2), 0, IF(OR(A99=③資金配分!$D$4, A99=③資金配分!$D$5, A99=③資金配分!$D$6, B99=③資金配分!$D$4, B99=③資金配分!$D$5, B99=③資金配分!$D$6, C99=③資金配分!$D$4, C99=③資金配分!$D$5, C99=③資金配分!$D$6), 0, IF(AND(③資金配分!$B$8&gt;0, G99&lt;=③資金配分!$B$8), 1, 0))))</f>
        <v>0</v>
      </c>
      <c r="I99">
        <f t="shared" si="3"/>
        <v>0</v>
      </c>
      <c r="J99">
        <f>IF(I99&gt;0, ROUND((I99 / SUM($I$2:$I$817)) * ③資金配分!$B$7, -2), 0)</f>
        <v>0</v>
      </c>
    </row>
    <row r="100" spans="1:10" x14ac:dyDescent="0.4">
      <c r="A100">
        <v>1</v>
      </c>
      <c r="B100">
        <v>9</v>
      </c>
      <c r="C100">
        <v>17</v>
      </c>
      <c r="D100">
        <f>IFERROR(IF(_xlfn.XLOOKUP(A100, ①オッズ入力!$A$2:$A$19, ①オッズ入力!$D$2:$D$19, "")="", 0, _xlfn.XLOOKUP(A100, ①オッズ入力!$A$2:$A$19, ①オッズ入力!$D$2:$D$19, 0)), 0)</f>
        <v>0.29775022002530088</v>
      </c>
      <c r="E100">
        <f>IFERROR(IF(_xlfn.XLOOKUP(B100, ①オッズ入力!$A$2:$A$19, ①オッズ入力!$D$2:$D$19, "")="", 0, _xlfn.XLOOKUP(B100, ①オッズ入力!$A$2:$A$19, ①オッズ入力!$D$2:$D$19, 0)), 0)</f>
        <v>1.9850014668353389E-2</v>
      </c>
      <c r="F100">
        <f>IFERROR(IF(_xlfn.XLOOKUP(C100, ①オッズ入力!$A$2:$A$19, ①オッズ入力!$D$2:$D$19, "")="", 0, _xlfn.XLOOKUP(C100, ①オッズ入力!$A$2:$A$19, ①オッズ入力!$D$2:$D$19, 0)), 0)</f>
        <v>9.1615452315477186E-3</v>
      </c>
      <c r="G100">
        <f t="shared" si="2"/>
        <v>18467.935402233201</v>
      </c>
      <c r="H100">
        <f>IF(G100="", 0, IF(OR(A100=③資金配分!$D$1, A100=③資金配分!$D$2, B100=③資金配分!$D$1, B100=③資金配分!$D$2, C100=③資金配分!$D$1, C100=③資金配分!$D$2), 0, IF(OR(A100=③資金配分!$D$4, A100=③資金配分!$D$5, A100=③資金配分!$D$6, B100=③資金配分!$D$4, B100=③資金配分!$D$5, B100=③資金配分!$D$6, C100=③資金配分!$D$4, C100=③資金配分!$D$5, C100=③資金配分!$D$6), 0, IF(AND(③資金配分!$B$8&gt;0, G100&lt;=③資金配分!$B$8), 1, 0))))</f>
        <v>0</v>
      </c>
      <c r="I100">
        <f t="shared" si="3"/>
        <v>0</v>
      </c>
      <c r="J100">
        <f>IF(I100&gt;0, ROUND((I100 / SUM($I$2:$I$817)) * ③資金配分!$B$7, -2), 0)</f>
        <v>0</v>
      </c>
    </row>
    <row r="101" spans="1:10" x14ac:dyDescent="0.4">
      <c r="A101">
        <v>1</v>
      </c>
      <c r="B101">
        <v>9</v>
      </c>
      <c r="C101">
        <v>18</v>
      </c>
      <c r="D101">
        <f>IFERROR(IF(_xlfn.XLOOKUP(A101, ①オッズ入力!$A$2:$A$19, ①オッズ入力!$D$2:$D$19, "")="", 0, _xlfn.XLOOKUP(A101, ①オッズ入力!$A$2:$A$19, ①オッズ入力!$D$2:$D$19, 0)), 0)</f>
        <v>0.29775022002530088</v>
      </c>
      <c r="E101">
        <f>IFERROR(IF(_xlfn.XLOOKUP(B101, ①オッズ入力!$A$2:$A$19, ①オッズ入力!$D$2:$D$19, "")="", 0, _xlfn.XLOOKUP(B101, ①オッズ入力!$A$2:$A$19, ①オッズ入力!$D$2:$D$19, 0)), 0)</f>
        <v>1.9850014668353389E-2</v>
      </c>
      <c r="F101">
        <f>IFERROR(IF(_xlfn.XLOOKUP(C101, ①オッズ入力!$A$2:$A$19, ①オッズ入力!$D$2:$D$19, "")="", 0, _xlfn.XLOOKUP(C101, ①オッズ入力!$A$2:$A$19, ①オッズ入力!$D$2:$D$19, 0)), 0)</f>
        <v>8.5478532064679671E-3</v>
      </c>
      <c r="G101">
        <f t="shared" si="2"/>
        <v>19793.838456752506</v>
      </c>
      <c r="H101">
        <f>IF(G101="", 0, IF(OR(A101=③資金配分!$D$1, A101=③資金配分!$D$2, B101=③資金配分!$D$1, B101=③資金配分!$D$2, C101=③資金配分!$D$1, C101=③資金配分!$D$2), 0, IF(OR(A101=③資金配分!$D$4, A101=③資金配分!$D$5, A101=③資金配分!$D$6, B101=③資金配分!$D$4, B101=③資金配分!$D$5, B101=③資金配分!$D$6, C101=③資金配分!$D$4, C101=③資金配分!$D$5, C101=③資金配分!$D$6), 0, IF(AND(③資金配分!$B$8&gt;0, G101&lt;=③資金配分!$B$8), 1, 0))))</f>
        <v>0</v>
      </c>
      <c r="I101">
        <f t="shared" si="3"/>
        <v>0</v>
      </c>
      <c r="J101">
        <f>IF(I101&gt;0, ROUND((I101 / SUM($I$2:$I$817)) * ③資金配分!$B$7, -2), 0)</f>
        <v>0</v>
      </c>
    </row>
    <row r="102" spans="1:10" x14ac:dyDescent="0.4">
      <c r="A102">
        <v>1</v>
      </c>
      <c r="B102">
        <v>10</v>
      </c>
      <c r="C102">
        <v>11</v>
      </c>
      <c r="D102">
        <f>IFERROR(IF(_xlfn.XLOOKUP(A102, ①オッズ入力!$A$2:$A$19, ①オッズ入力!$D$2:$D$19, "")="", 0, _xlfn.XLOOKUP(A102, ①オッズ入力!$A$2:$A$19, ①オッズ入力!$D$2:$D$19, 0)), 0)</f>
        <v>0.29775022002530088</v>
      </c>
      <c r="E102">
        <f>IFERROR(IF(_xlfn.XLOOKUP(B102, ①オッズ入力!$A$2:$A$19, ①オッズ入力!$D$2:$D$19, "")="", 0, _xlfn.XLOOKUP(B102, ①オッズ入力!$A$2:$A$19, ①オッズ入力!$D$2:$D$19, 0)), 0)</f>
        <v>1.7865013201518051E-2</v>
      </c>
      <c r="F102">
        <f>IFERROR(IF(_xlfn.XLOOKUP(C102, ①オッズ入力!$A$2:$A$19, ①オッズ入力!$D$2:$D$19, "")="", 0, _xlfn.XLOOKUP(C102, ①オッズ入力!$A$2:$A$19, ①オッズ入力!$D$2:$D$19, 0)), 0)</f>
        <v>1.6240921092289137E-2</v>
      </c>
      <c r="G102">
        <f t="shared" si="2"/>
        <v>11575.344126755854</v>
      </c>
      <c r="H102">
        <f>IF(G102="", 0, IF(OR(A102=③資金配分!$D$1, A102=③資金配分!$D$2, B102=③資金配分!$D$1, B102=③資金配分!$D$2, C102=③資金配分!$D$1, C102=③資金配分!$D$2), 0, IF(OR(A102=③資金配分!$D$4, A102=③資金配分!$D$5, A102=③資金配分!$D$6, B102=③資金配分!$D$4, B102=③資金配分!$D$5, B102=③資金配分!$D$6, C102=③資金配分!$D$4, C102=③資金配分!$D$5, C102=③資金配分!$D$6), 0, IF(AND(③資金配分!$B$8&gt;0, G102&lt;=③資金配分!$B$8), 1, 0))))</f>
        <v>0</v>
      </c>
      <c r="I102">
        <f t="shared" si="3"/>
        <v>0</v>
      </c>
      <c r="J102">
        <f>IF(I102&gt;0, ROUND((I102 / SUM($I$2:$I$817)) * ③資金配分!$B$7, -2), 0)</f>
        <v>0</v>
      </c>
    </row>
    <row r="103" spans="1:10" x14ac:dyDescent="0.4">
      <c r="A103">
        <v>1</v>
      </c>
      <c r="B103">
        <v>10</v>
      </c>
      <c r="C103">
        <v>12</v>
      </c>
      <c r="D103">
        <f>IFERROR(IF(_xlfn.XLOOKUP(A103, ①オッズ入力!$A$2:$A$19, ①オッズ入力!$D$2:$D$19, "")="", 0, _xlfn.XLOOKUP(A103, ①オッズ入力!$A$2:$A$19, ①オッズ入力!$D$2:$D$19, 0)), 0)</f>
        <v>0.29775022002530088</v>
      </c>
      <c r="E103">
        <f>IFERROR(IF(_xlfn.XLOOKUP(B103, ①オッズ入力!$A$2:$A$19, ①オッズ入力!$D$2:$D$19, "")="", 0, _xlfn.XLOOKUP(B103, ①オッズ入力!$A$2:$A$19, ①オッズ入力!$D$2:$D$19, 0)), 0)</f>
        <v>1.7865013201518051E-2</v>
      </c>
      <c r="F103">
        <f>IFERROR(IF(_xlfn.XLOOKUP(C103, ①オッズ入力!$A$2:$A$19, ①オッズ入力!$D$2:$D$19, "")="", 0, _xlfn.XLOOKUP(C103, ①オッズ入力!$A$2:$A$19, ①オッズ入力!$D$2:$D$19, 0)), 0)</f>
        <v>1.4887511001265043E-2</v>
      </c>
      <c r="G103">
        <f t="shared" si="2"/>
        <v>12627.648138279112</v>
      </c>
      <c r="H103">
        <f>IF(G103="", 0, IF(OR(A103=③資金配分!$D$1, A103=③資金配分!$D$2, B103=③資金配分!$D$1, B103=③資金配分!$D$2, C103=③資金配分!$D$1, C103=③資金配分!$D$2), 0, IF(OR(A103=③資金配分!$D$4, A103=③資金配分!$D$5, A103=③資金配分!$D$6, B103=③資金配分!$D$4, B103=③資金配分!$D$5, B103=③資金配分!$D$6, C103=③資金配分!$D$4, C103=③資金配分!$D$5, C103=③資金配分!$D$6), 0, IF(AND(③資金配分!$B$8&gt;0, G103&lt;=③資金配分!$B$8), 1, 0))))</f>
        <v>0</v>
      </c>
      <c r="I103">
        <f t="shared" si="3"/>
        <v>0</v>
      </c>
      <c r="J103">
        <f>IF(I103&gt;0, ROUND((I103 / SUM($I$2:$I$817)) * ③資金配分!$B$7, -2), 0)</f>
        <v>0</v>
      </c>
    </row>
    <row r="104" spans="1:10" x14ac:dyDescent="0.4">
      <c r="A104">
        <v>1</v>
      </c>
      <c r="B104">
        <v>10</v>
      </c>
      <c r="C104">
        <v>13</v>
      </c>
      <c r="D104">
        <f>IFERROR(IF(_xlfn.XLOOKUP(A104, ①オッズ入力!$A$2:$A$19, ①オッズ入力!$D$2:$D$19, "")="", 0, _xlfn.XLOOKUP(A104, ①オッズ入力!$A$2:$A$19, ①オッズ入力!$D$2:$D$19, 0)), 0)</f>
        <v>0.29775022002530088</v>
      </c>
      <c r="E104">
        <f>IFERROR(IF(_xlfn.XLOOKUP(B104, ①オッズ入力!$A$2:$A$19, ①オッズ入力!$D$2:$D$19, "")="", 0, _xlfn.XLOOKUP(B104, ①オッズ入力!$A$2:$A$19, ①オッズ入力!$D$2:$D$19, 0)), 0)</f>
        <v>1.7865013201518051E-2</v>
      </c>
      <c r="F104">
        <f>IFERROR(IF(_xlfn.XLOOKUP(C104, ①オッズ入力!$A$2:$A$19, ①オッズ入力!$D$2:$D$19, "")="", 0, _xlfn.XLOOKUP(C104, ①オッズ入力!$A$2:$A$19, ①オッズ入力!$D$2:$D$19, 0)), 0)</f>
        <v>1.2760723715370036E-2</v>
      </c>
      <c r="G104">
        <f t="shared" si="2"/>
        <v>14732.256161325633</v>
      </c>
      <c r="H104">
        <f>IF(G104="", 0, IF(OR(A104=③資金配分!$D$1, A104=③資金配分!$D$2, B104=③資金配分!$D$1, B104=③資金配分!$D$2, C104=③資金配分!$D$1, C104=③資金配分!$D$2), 0, IF(OR(A104=③資金配分!$D$4, A104=③資金配分!$D$5, A104=③資金配分!$D$6, B104=③資金配分!$D$4, B104=③資金配分!$D$5, B104=③資金配分!$D$6, C104=③資金配分!$D$4, C104=③資金配分!$D$5, C104=③資金配分!$D$6), 0, IF(AND(③資金配分!$B$8&gt;0, G104&lt;=③資金配分!$B$8), 1, 0))))</f>
        <v>0</v>
      </c>
      <c r="I104">
        <f t="shared" si="3"/>
        <v>0</v>
      </c>
      <c r="J104">
        <f>IF(I104&gt;0, ROUND((I104 / SUM($I$2:$I$817)) * ③資金配分!$B$7, -2), 0)</f>
        <v>0</v>
      </c>
    </row>
    <row r="105" spans="1:10" x14ac:dyDescent="0.4">
      <c r="A105">
        <v>1</v>
      </c>
      <c r="B105">
        <v>10</v>
      </c>
      <c r="C105">
        <v>14</v>
      </c>
      <c r="D105">
        <f>IFERROR(IF(_xlfn.XLOOKUP(A105, ①オッズ入力!$A$2:$A$19, ①オッズ入力!$D$2:$D$19, "")="", 0, _xlfn.XLOOKUP(A105, ①オッズ入力!$A$2:$A$19, ①オッズ入力!$D$2:$D$19, 0)), 0)</f>
        <v>0.29775022002530088</v>
      </c>
      <c r="E105">
        <f>IFERROR(IF(_xlfn.XLOOKUP(B105, ①オッズ入力!$A$2:$A$19, ①オッズ入力!$D$2:$D$19, "")="", 0, _xlfn.XLOOKUP(B105, ①オッズ入力!$A$2:$A$19, ①オッズ入力!$D$2:$D$19, 0)), 0)</f>
        <v>1.7865013201518051E-2</v>
      </c>
      <c r="F105">
        <f>IFERROR(IF(_xlfn.XLOOKUP(C105, ①オッズ入力!$A$2:$A$19, ①オッズ入力!$D$2:$D$19, "")="", 0, _xlfn.XLOOKUP(C105, ①オッズ入力!$A$2:$A$19, ①オッズ入力!$D$2:$D$19, 0)), 0)</f>
        <v>1.1525814968721322E-2</v>
      </c>
      <c r="G105">
        <f t="shared" si="2"/>
        <v>16310.71217861052</v>
      </c>
      <c r="H105">
        <f>IF(G105="", 0, IF(OR(A105=③資金配分!$D$1, A105=③資金配分!$D$2, B105=③資金配分!$D$1, B105=③資金配分!$D$2, C105=③資金配分!$D$1, C105=③資金配分!$D$2), 0, IF(OR(A105=③資金配分!$D$4, A105=③資金配分!$D$5, A105=③資金配分!$D$6, B105=③資金配分!$D$4, B105=③資金配分!$D$5, B105=③資金配分!$D$6, C105=③資金配分!$D$4, C105=③資金配分!$D$5, C105=③資金配分!$D$6), 0, IF(AND(③資金配分!$B$8&gt;0, G105&lt;=③資金配分!$B$8), 1, 0))))</f>
        <v>0</v>
      </c>
      <c r="I105">
        <f t="shared" si="3"/>
        <v>0</v>
      </c>
      <c r="J105">
        <f>IF(I105&gt;0, ROUND((I105 / SUM($I$2:$I$817)) * ③資金配分!$B$7, -2), 0)</f>
        <v>0</v>
      </c>
    </row>
    <row r="106" spans="1:10" x14ac:dyDescent="0.4">
      <c r="A106">
        <v>1</v>
      </c>
      <c r="B106">
        <v>10</v>
      </c>
      <c r="C106">
        <v>15</v>
      </c>
      <c r="D106">
        <f>IFERROR(IF(_xlfn.XLOOKUP(A106, ①オッズ入力!$A$2:$A$19, ①オッズ入力!$D$2:$D$19, "")="", 0, _xlfn.XLOOKUP(A106, ①オッズ入力!$A$2:$A$19, ①オッズ入力!$D$2:$D$19, 0)), 0)</f>
        <v>0.29775022002530088</v>
      </c>
      <c r="E106">
        <f>IFERROR(IF(_xlfn.XLOOKUP(B106, ①オッズ入力!$A$2:$A$19, ①オッズ入力!$D$2:$D$19, "")="", 0, _xlfn.XLOOKUP(B106, ①オッズ入力!$A$2:$A$19, ①オッズ入力!$D$2:$D$19, 0)), 0)</f>
        <v>1.7865013201518051E-2</v>
      </c>
      <c r="F106">
        <f>IFERROR(IF(_xlfn.XLOOKUP(C106, ①オッズ入力!$A$2:$A$19, ①オッズ入力!$D$2:$D$19, "")="", 0, _xlfn.XLOOKUP(C106, ①オッズ入力!$A$2:$A$19, ①オッズ入力!$D$2:$D$19, 0)), 0)</f>
        <v>1.0697612695519792E-2</v>
      </c>
      <c r="G106">
        <f t="shared" si="2"/>
        <v>17573.476992438431</v>
      </c>
      <c r="H106">
        <f>IF(G106="", 0, IF(OR(A106=③資金配分!$D$1, A106=③資金配分!$D$2, B106=③資金配分!$D$1, B106=③資金配分!$D$2, C106=③資金配分!$D$1, C106=③資金配分!$D$2), 0, IF(OR(A106=③資金配分!$D$4, A106=③資金配分!$D$5, A106=③資金配分!$D$6, B106=③資金配分!$D$4, B106=③資金配分!$D$5, B106=③資金配分!$D$6, C106=③資金配分!$D$4, C106=③資金配分!$D$5, C106=③資金配分!$D$6), 0, IF(AND(③資金配分!$B$8&gt;0, G106&lt;=③資金配分!$B$8), 1, 0))))</f>
        <v>0</v>
      </c>
      <c r="I106">
        <f t="shared" si="3"/>
        <v>0</v>
      </c>
      <c r="J106">
        <f>IF(I106&gt;0, ROUND((I106 / SUM($I$2:$I$817)) * ③資金配分!$B$7, -2), 0)</f>
        <v>0</v>
      </c>
    </row>
    <row r="107" spans="1:10" x14ac:dyDescent="0.4">
      <c r="A107">
        <v>1</v>
      </c>
      <c r="B107">
        <v>10</v>
      </c>
      <c r="C107">
        <v>16</v>
      </c>
      <c r="D107">
        <f>IFERROR(IF(_xlfn.XLOOKUP(A107, ①オッズ入力!$A$2:$A$19, ①オッズ入力!$D$2:$D$19, "")="", 0, _xlfn.XLOOKUP(A107, ①オッズ入力!$A$2:$A$19, ①オッズ入力!$D$2:$D$19, 0)), 0)</f>
        <v>0.29775022002530088</v>
      </c>
      <c r="E107">
        <f>IFERROR(IF(_xlfn.XLOOKUP(B107, ①オッズ入力!$A$2:$A$19, ①オッズ入力!$D$2:$D$19, "")="", 0, _xlfn.XLOOKUP(B107, ①オッズ入力!$A$2:$A$19, ①オッズ入力!$D$2:$D$19, 0)), 0)</f>
        <v>1.7865013201518051E-2</v>
      </c>
      <c r="F107">
        <f>IFERROR(IF(_xlfn.XLOOKUP(C107, ①オッズ入力!$A$2:$A$19, ①オッズ入力!$D$2:$D$19, "")="", 0, _xlfn.XLOOKUP(C107, ①オッズ入力!$A$2:$A$19, ①オッズ入力!$D$2:$D$19, 0)), 0)</f>
        <v>9.8701730395127345E-3</v>
      </c>
      <c r="G107">
        <f t="shared" si="2"/>
        <v>19046.702608570995</v>
      </c>
      <c r="H107">
        <f>IF(G107="", 0, IF(OR(A107=③資金配分!$D$1, A107=③資金配分!$D$2, B107=③資金配分!$D$1, B107=③資金配分!$D$2, C107=③資金配分!$D$1, C107=③資金配分!$D$2), 0, IF(OR(A107=③資金配分!$D$4, A107=③資金配分!$D$5, A107=③資金配分!$D$6, B107=③資金配分!$D$4, B107=③資金配分!$D$5, B107=③資金配分!$D$6, C107=③資金配分!$D$4, C107=③資金配分!$D$5, C107=③資金配分!$D$6), 0, IF(AND(③資金配分!$B$8&gt;0, G107&lt;=③資金配分!$B$8), 1, 0))))</f>
        <v>0</v>
      </c>
      <c r="I107">
        <f t="shared" si="3"/>
        <v>0</v>
      </c>
      <c r="J107">
        <f>IF(I107&gt;0, ROUND((I107 / SUM($I$2:$I$817)) * ③資金配分!$B$7, -2), 0)</f>
        <v>0</v>
      </c>
    </row>
    <row r="108" spans="1:10" x14ac:dyDescent="0.4">
      <c r="A108">
        <v>1</v>
      </c>
      <c r="B108">
        <v>10</v>
      </c>
      <c r="C108">
        <v>17</v>
      </c>
      <c r="D108">
        <f>IFERROR(IF(_xlfn.XLOOKUP(A108, ①オッズ入力!$A$2:$A$19, ①オッズ入力!$D$2:$D$19, "")="", 0, _xlfn.XLOOKUP(A108, ①オッズ入力!$A$2:$A$19, ①オッズ入力!$D$2:$D$19, 0)), 0)</f>
        <v>0.29775022002530088</v>
      </c>
      <c r="E108">
        <f>IFERROR(IF(_xlfn.XLOOKUP(B108, ①オッズ入力!$A$2:$A$19, ①オッズ入力!$D$2:$D$19, "")="", 0, _xlfn.XLOOKUP(B108, ①オッズ入力!$A$2:$A$19, ①オッズ入力!$D$2:$D$19, 0)), 0)</f>
        <v>1.7865013201518051E-2</v>
      </c>
      <c r="F108">
        <f>IFERROR(IF(_xlfn.XLOOKUP(C108, ①オッズ入力!$A$2:$A$19, ①オッズ入力!$D$2:$D$19, "")="", 0, _xlfn.XLOOKUP(C108, ①オッズ入力!$A$2:$A$19, ①オッズ入力!$D$2:$D$19, 0)), 0)</f>
        <v>9.1615452315477186E-3</v>
      </c>
      <c r="G108">
        <f t="shared" si="2"/>
        <v>20519.928224703559</v>
      </c>
      <c r="H108">
        <f>IF(G108="", 0, IF(OR(A108=③資金配分!$D$1, A108=③資金配分!$D$2, B108=③資金配分!$D$1, B108=③資金配分!$D$2, C108=③資金配分!$D$1, C108=③資金配分!$D$2), 0, IF(OR(A108=③資金配分!$D$4, A108=③資金配分!$D$5, A108=③資金配分!$D$6, B108=③資金配分!$D$4, B108=③資金配分!$D$5, B108=③資金配分!$D$6, C108=③資金配分!$D$4, C108=③資金配分!$D$5, C108=③資金配分!$D$6), 0, IF(AND(③資金配分!$B$8&gt;0, G108&lt;=③資金配分!$B$8), 1, 0))))</f>
        <v>0</v>
      </c>
      <c r="I108">
        <f t="shared" si="3"/>
        <v>0</v>
      </c>
      <c r="J108">
        <f>IF(I108&gt;0, ROUND((I108 / SUM($I$2:$I$817)) * ③資金配分!$B$7, -2), 0)</f>
        <v>0</v>
      </c>
    </row>
    <row r="109" spans="1:10" x14ac:dyDescent="0.4">
      <c r="A109">
        <v>1</v>
      </c>
      <c r="B109">
        <v>10</v>
      </c>
      <c r="C109">
        <v>18</v>
      </c>
      <c r="D109">
        <f>IFERROR(IF(_xlfn.XLOOKUP(A109, ①オッズ入力!$A$2:$A$19, ①オッズ入力!$D$2:$D$19, "")="", 0, _xlfn.XLOOKUP(A109, ①オッズ入力!$A$2:$A$19, ①オッズ入力!$D$2:$D$19, 0)), 0)</f>
        <v>0.29775022002530088</v>
      </c>
      <c r="E109">
        <f>IFERROR(IF(_xlfn.XLOOKUP(B109, ①オッズ入力!$A$2:$A$19, ①オッズ入力!$D$2:$D$19, "")="", 0, _xlfn.XLOOKUP(B109, ①オッズ入力!$A$2:$A$19, ①オッズ入力!$D$2:$D$19, 0)), 0)</f>
        <v>1.7865013201518051E-2</v>
      </c>
      <c r="F109">
        <f>IFERROR(IF(_xlfn.XLOOKUP(C109, ①オッズ入力!$A$2:$A$19, ①オッズ入力!$D$2:$D$19, "")="", 0, _xlfn.XLOOKUP(C109, ①オッズ入力!$A$2:$A$19, ①オッズ入力!$D$2:$D$19, 0)), 0)</f>
        <v>8.5478532064679671E-3</v>
      </c>
      <c r="G109">
        <f t="shared" si="2"/>
        <v>21993.153840836119</v>
      </c>
      <c r="H109">
        <f>IF(G109="", 0, IF(OR(A109=③資金配分!$D$1, A109=③資金配分!$D$2, B109=③資金配分!$D$1, B109=③資金配分!$D$2, C109=③資金配分!$D$1, C109=③資金配分!$D$2), 0, IF(OR(A109=③資金配分!$D$4, A109=③資金配分!$D$5, A109=③資金配分!$D$6, B109=③資金配分!$D$4, B109=③資金配分!$D$5, B109=③資金配分!$D$6, C109=③資金配分!$D$4, C109=③資金配分!$D$5, C109=③資金配分!$D$6), 0, IF(AND(③資金配分!$B$8&gt;0, G109&lt;=③資金配分!$B$8), 1, 0))))</f>
        <v>0</v>
      </c>
      <c r="I109">
        <f t="shared" si="3"/>
        <v>0</v>
      </c>
      <c r="J109">
        <f>IF(I109&gt;0, ROUND((I109 / SUM($I$2:$I$817)) * ③資金配分!$B$7, -2), 0)</f>
        <v>0</v>
      </c>
    </row>
    <row r="110" spans="1:10" x14ac:dyDescent="0.4">
      <c r="A110">
        <v>1</v>
      </c>
      <c r="B110">
        <v>11</v>
      </c>
      <c r="C110">
        <v>12</v>
      </c>
      <c r="D110">
        <f>IFERROR(IF(_xlfn.XLOOKUP(A110, ①オッズ入力!$A$2:$A$19, ①オッズ入力!$D$2:$D$19, "")="", 0, _xlfn.XLOOKUP(A110, ①オッズ入力!$A$2:$A$19, ①オッズ入力!$D$2:$D$19, 0)), 0)</f>
        <v>0.29775022002530088</v>
      </c>
      <c r="E110">
        <f>IFERROR(IF(_xlfn.XLOOKUP(B110, ①オッズ入力!$A$2:$A$19, ①オッズ入力!$D$2:$D$19, "")="", 0, _xlfn.XLOOKUP(B110, ①オッズ入力!$A$2:$A$19, ①オッズ入力!$D$2:$D$19, 0)), 0)</f>
        <v>1.6240921092289137E-2</v>
      </c>
      <c r="F110">
        <f>IFERROR(IF(_xlfn.XLOOKUP(C110, ①オッズ入力!$A$2:$A$19, ①オッズ入力!$D$2:$D$19, "")="", 0, _xlfn.XLOOKUP(C110, ①オッズ入力!$A$2:$A$19, ①オッズ入力!$D$2:$D$19, 0)), 0)</f>
        <v>1.4887511001265043E-2</v>
      </c>
      <c r="G110">
        <f t="shared" si="2"/>
        <v>13890.412952107023</v>
      </c>
      <c r="H110">
        <f>IF(G110="", 0, IF(OR(A110=③資金配分!$D$1, A110=③資金配分!$D$2, B110=③資金配分!$D$1, B110=③資金配分!$D$2, C110=③資金配分!$D$1, C110=③資金配分!$D$2), 0, IF(OR(A110=③資金配分!$D$4, A110=③資金配分!$D$5, A110=③資金配分!$D$6, B110=③資金配分!$D$4, B110=③資金配分!$D$5, B110=③資金配分!$D$6, C110=③資金配分!$D$4, C110=③資金配分!$D$5, C110=③資金配分!$D$6), 0, IF(AND(③資金配分!$B$8&gt;0, G110&lt;=③資金配分!$B$8), 1, 0))))</f>
        <v>0</v>
      </c>
      <c r="I110">
        <f t="shared" si="3"/>
        <v>0</v>
      </c>
      <c r="J110">
        <f>IF(I110&gt;0, ROUND((I110 / SUM($I$2:$I$817)) * ③資金配分!$B$7, -2), 0)</f>
        <v>0</v>
      </c>
    </row>
    <row r="111" spans="1:10" x14ac:dyDescent="0.4">
      <c r="A111">
        <v>1</v>
      </c>
      <c r="B111">
        <v>11</v>
      </c>
      <c r="C111">
        <v>13</v>
      </c>
      <c r="D111">
        <f>IFERROR(IF(_xlfn.XLOOKUP(A111, ①オッズ入力!$A$2:$A$19, ①オッズ入力!$D$2:$D$19, "")="", 0, _xlfn.XLOOKUP(A111, ①オッズ入力!$A$2:$A$19, ①オッズ入力!$D$2:$D$19, 0)), 0)</f>
        <v>0.29775022002530088</v>
      </c>
      <c r="E111">
        <f>IFERROR(IF(_xlfn.XLOOKUP(B111, ①オッズ入力!$A$2:$A$19, ①オッズ入力!$D$2:$D$19, "")="", 0, _xlfn.XLOOKUP(B111, ①オッズ入力!$A$2:$A$19, ①オッズ入力!$D$2:$D$19, 0)), 0)</f>
        <v>1.6240921092289137E-2</v>
      </c>
      <c r="F111">
        <f>IFERROR(IF(_xlfn.XLOOKUP(C111, ①オッズ入力!$A$2:$A$19, ①オッズ入力!$D$2:$D$19, "")="", 0, _xlfn.XLOOKUP(C111, ①オッズ入力!$A$2:$A$19, ①オッズ入力!$D$2:$D$19, 0)), 0)</f>
        <v>1.2760723715370036E-2</v>
      </c>
      <c r="G111">
        <f t="shared" si="2"/>
        <v>16205.481777458195</v>
      </c>
      <c r="H111">
        <f>IF(G111="", 0, IF(OR(A111=③資金配分!$D$1, A111=③資金配分!$D$2, B111=③資金配分!$D$1, B111=③資金配分!$D$2, C111=③資金配分!$D$1, C111=③資金配分!$D$2), 0, IF(OR(A111=③資金配分!$D$4, A111=③資金配分!$D$5, A111=③資金配分!$D$6, B111=③資金配分!$D$4, B111=③資金配分!$D$5, B111=③資金配分!$D$6, C111=③資金配分!$D$4, C111=③資金配分!$D$5, C111=③資金配分!$D$6), 0, IF(AND(③資金配分!$B$8&gt;0, G111&lt;=③資金配分!$B$8), 1, 0))))</f>
        <v>0</v>
      </c>
      <c r="I111">
        <f t="shared" si="3"/>
        <v>0</v>
      </c>
      <c r="J111">
        <f>IF(I111&gt;0, ROUND((I111 / SUM($I$2:$I$817)) * ③資金配分!$B$7, -2), 0)</f>
        <v>0</v>
      </c>
    </row>
    <row r="112" spans="1:10" x14ac:dyDescent="0.4">
      <c r="A112">
        <v>1</v>
      </c>
      <c r="B112">
        <v>11</v>
      </c>
      <c r="C112">
        <v>14</v>
      </c>
      <c r="D112">
        <f>IFERROR(IF(_xlfn.XLOOKUP(A112, ①オッズ入力!$A$2:$A$19, ①オッズ入力!$D$2:$D$19, "")="", 0, _xlfn.XLOOKUP(A112, ①オッズ入力!$A$2:$A$19, ①オッズ入力!$D$2:$D$19, 0)), 0)</f>
        <v>0.29775022002530088</v>
      </c>
      <c r="E112">
        <f>IFERROR(IF(_xlfn.XLOOKUP(B112, ①オッズ入力!$A$2:$A$19, ①オッズ入力!$D$2:$D$19, "")="", 0, _xlfn.XLOOKUP(B112, ①オッズ入力!$A$2:$A$19, ①オッズ入力!$D$2:$D$19, 0)), 0)</f>
        <v>1.6240921092289137E-2</v>
      </c>
      <c r="F112">
        <f>IFERROR(IF(_xlfn.XLOOKUP(C112, ①オッズ入力!$A$2:$A$19, ①オッズ入力!$D$2:$D$19, "")="", 0, _xlfn.XLOOKUP(C112, ①オッズ入力!$A$2:$A$19, ①オッズ入力!$D$2:$D$19, 0)), 0)</f>
        <v>1.1525814968721322E-2</v>
      </c>
      <c r="G112">
        <f t="shared" si="2"/>
        <v>17941.783396471572</v>
      </c>
      <c r="H112">
        <f>IF(G112="", 0, IF(OR(A112=③資金配分!$D$1, A112=③資金配分!$D$2, B112=③資金配分!$D$1, B112=③資金配分!$D$2, C112=③資金配分!$D$1, C112=③資金配分!$D$2), 0, IF(OR(A112=③資金配分!$D$4, A112=③資金配分!$D$5, A112=③資金配分!$D$6, B112=③資金配分!$D$4, B112=③資金配分!$D$5, B112=③資金配分!$D$6, C112=③資金配分!$D$4, C112=③資金配分!$D$5, C112=③資金配分!$D$6), 0, IF(AND(③資金配分!$B$8&gt;0, G112&lt;=③資金配分!$B$8), 1, 0))))</f>
        <v>0</v>
      </c>
      <c r="I112">
        <f t="shared" si="3"/>
        <v>0</v>
      </c>
      <c r="J112">
        <f>IF(I112&gt;0, ROUND((I112 / SUM($I$2:$I$817)) * ③資金配分!$B$7, -2), 0)</f>
        <v>0</v>
      </c>
    </row>
    <row r="113" spans="1:10" x14ac:dyDescent="0.4">
      <c r="A113">
        <v>1</v>
      </c>
      <c r="B113">
        <v>11</v>
      </c>
      <c r="C113">
        <v>15</v>
      </c>
      <c r="D113">
        <f>IFERROR(IF(_xlfn.XLOOKUP(A113, ①オッズ入力!$A$2:$A$19, ①オッズ入力!$D$2:$D$19, "")="", 0, _xlfn.XLOOKUP(A113, ①オッズ入力!$A$2:$A$19, ①オッズ入力!$D$2:$D$19, 0)), 0)</f>
        <v>0.29775022002530088</v>
      </c>
      <c r="E113">
        <f>IFERROR(IF(_xlfn.XLOOKUP(B113, ①オッズ入力!$A$2:$A$19, ①オッズ入力!$D$2:$D$19, "")="", 0, _xlfn.XLOOKUP(B113, ①オッズ入力!$A$2:$A$19, ①オッズ入力!$D$2:$D$19, 0)), 0)</f>
        <v>1.6240921092289137E-2</v>
      </c>
      <c r="F113">
        <f>IFERROR(IF(_xlfn.XLOOKUP(C113, ①オッズ入力!$A$2:$A$19, ①オッズ入力!$D$2:$D$19, "")="", 0, _xlfn.XLOOKUP(C113, ①オッズ入力!$A$2:$A$19, ①オッズ入力!$D$2:$D$19, 0)), 0)</f>
        <v>1.0697612695519792E-2</v>
      </c>
      <c r="G113">
        <f t="shared" si="2"/>
        <v>19330.824691682272</v>
      </c>
      <c r="H113">
        <f>IF(G113="", 0, IF(OR(A113=③資金配分!$D$1, A113=③資金配分!$D$2, B113=③資金配分!$D$1, B113=③資金配分!$D$2, C113=③資金配分!$D$1, C113=③資金配分!$D$2), 0, IF(OR(A113=③資金配分!$D$4, A113=③資金配分!$D$5, A113=③資金配分!$D$6, B113=③資金配分!$D$4, B113=③資金配分!$D$5, B113=③資金配分!$D$6, C113=③資金配分!$D$4, C113=③資金配分!$D$5, C113=③資金配分!$D$6), 0, IF(AND(③資金配分!$B$8&gt;0, G113&lt;=③資金配分!$B$8), 1, 0))))</f>
        <v>0</v>
      </c>
      <c r="I113">
        <f t="shared" si="3"/>
        <v>0</v>
      </c>
      <c r="J113">
        <f>IF(I113&gt;0, ROUND((I113 / SUM($I$2:$I$817)) * ③資金配分!$B$7, -2), 0)</f>
        <v>0</v>
      </c>
    </row>
    <row r="114" spans="1:10" x14ac:dyDescent="0.4">
      <c r="A114">
        <v>1</v>
      </c>
      <c r="B114">
        <v>11</v>
      </c>
      <c r="C114">
        <v>16</v>
      </c>
      <c r="D114">
        <f>IFERROR(IF(_xlfn.XLOOKUP(A114, ①オッズ入力!$A$2:$A$19, ①オッズ入力!$D$2:$D$19, "")="", 0, _xlfn.XLOOKUP(A114, ①オッズ入力!$A$2:$A$19, ①オッズ入力!$D$2:$D$19, 0)), 0)</f>
        <v>0.29775022002530088</v>
      </c>
      <c r="E114">
        <f>IFERROR(IF(_xlfn.XLOOKUP(B114, ①オッズ入力!$A$2:$A$19, ①オッズ入力!$D$2:$D$19, "")="", 0, _xlfn.XLOOKUP(B114, ①オッズ入力!$A$2:$A$19, ①オッズ入力!$D$2:$D$19, 0)), 0)</f>
        <v>1.6240921092289137E-2</v>
      </c>
      <c r="F114">
        <f>IFERROR(IF(_xlfn.XLOOKUP(C114, ①オッズ入力!$A$2:$A$19, ①オッズ入力!$D$2:$D$19, "")="", 0, _xlfn.XLOOKUP(C114, ①オッズ入力!$A$2:$A$19, ①オッズ入力!$D$2:$D$19, 0)), 0)</f>
        <v>9.8701730395127345E-3</v>
      </c>
      <c r="G114">
        <f t="shared" si="2"/>
        <v>20951.372869428094</v>
      </c>
      <c r="H114">
        <f>IF(G114="", 0, IF(OR(A114=③資金配分!$D$1, A114=③資金配分!$D$2, B114=③資金配分!$D$1, B114=③資金配分!$D$2, C114=③資金配分!$D$1, C114=③資金配分!$D$2), 0, IF(OR(A114=③資金配分!$D$4, A114=③資金配分!$D$5, A114=③資金配分!$D$6, B114=③資金配分!$D$4, B114=③資金配分!$D$5, B114=③資金配分!$D$6, C114=③資金配分!$D$4, C114=③資金配分!$D$5, C114=③資金配分!$D$6), 0, IF(AND(③資金配分!$B$8&gt;0, G114&lt;=③資金配分!$B$8), 1, 0))))</f>
        <v>0</v>
      </c>
      <c r="I114">
        <f t="shared" si="3"/>
        <v>0</v>
      </c>
      <c r="J114">
        <f>IF(I114&gt;0, ROUND((I114 / SUM($I$2:$I$817)) * ③資金配分!$B$7, -2), 0)</f>
        <v>0</v>
      </c>
    </row>
    <row r="115" spans="1:10" x14ac:dyDescent="0.4">
      <c r="A115">
        <v>1</v>
      </c>
      <c r="B115">
        <v>11</v>
      </c>
      <c r="C115">
        <v>17</v>
      </c>
      <c r="D115">
        <f>IFERROR(IF(_xlfn.XLOOKUP(A115, ①オッズ入力!$A$2:$A$19, ①オッズ入力!$D$2:$D$19, "")="", 0, _xlfn.XLOOKUP(A115, ①オッズ入力!$A$2:$A$19, ①オッズ入力!$D$2:$D$19, 0)), 0)</f>
        <v>0.29775022002530088</v>
      </c>
      <c r="E115">
        <f>IFERROR(IF(_xlfn.XLOOKUP(B115, ①オッズ入力!$A$2:$A$19, ①オッズ入力!$D$2:$D$19, "")="", 0, _xlfn.XLOOKUP(B115, ①オッズ入力!$A$2:$A$19, ①オッズ入力!$D$2:$D$19, 0)), 0)</f>
        <v>1.6240921092289137E-2</v>
      </c>
      <c r="F115">
        <f>IFERROR(IF(_xlfn.XLOOKUP(C115, ①オッズ入力!$A$2:$A$19, ①オッズ入力!$D$2:$D$19, "")="", 0, _xlfn.XLOOKUP(C115, ①オッズ入力!$A$2:$A$19, ①オッズ入力!$D$2:$D$19, 0)), 0)</f>
        <v>9.1615452315477186E-3</v>
      </c>
      <c r="G115">
        <f t="shared" si="2"/>
        <v>22571.921047173913</v>
      </c>
      <c r="H115">
        <f>IF(G115="", 0, IF(OR(A115=③資金配分!$D$1, A115=③資金配分!$D$2, B115=③資金配分!$D$1, B115=③資金配分!$D$2, C115=③資金配分!$D$1, C115=③資金配分!$D$2), 0, IF(OR(A115=③資金配分!$D$4, A115=③資金配分!$D$5, A115=③資金配分!$D$6, B115=③資金配分!$D$4, B115=③資金配分!$D$5, B115=③資金配分!$D$6, C115=③資金配分!$D$4, C115=③資金配分!$D$5, C115=③資金配分!$D$6), 0, IF(AND(③資金配分!$B$8&gt;0, G115&lt;=③資金配分!$B$8), 1, 0))))</f>
        <v>0</v>
      </c>
      <c r="I115">
        <f t="shared" si="3"/>
        <v>0</v>
      </c>
      <c r="J115">
        <f>IF(I115&gt;0, ROUND((I115 / SUM($I$2:$I$817)) * ③資金配分!$B$7, -2), 0)</f>
        <v>0</v>
      </c>
    </row>
    <row r="116" spans="1:10" x14ac:dyDescent="0.4">
      <c r="A116">
        <v>1</v>
      </c>
      <c r="B116">
        <v>11</v>
      </c>
      <c r="C116">
        <v>18</v>
      </c>
      <c r="D116">
        <f>IFERROR(IF(_xlfn.XLOOKUP(A116, ①オッズ入力!$A$2:$A$19, ①オッズ入力!$D$2:$D$19, "")="", 0, _xlfn.XLOOKUP(A116, ①オッズ入力!$A$2:$A$19, ①オッズ入力!$D$2:$D$19, 0)), 0)</f>
        <v>0.29775022002530088</v>
      </c>
      <c r="E116">
        <f>IFERROR(IF(_xlfn.XLOOKUP(B116, ①オッズ入力!$A$2:$A$19, ①オッズ入力!$D$2:$D$19, "")="", 0, _xlfn.XLOOKUP(B116, ①オッズ入力!$A$2:$A$19, ①オッズ入力!$D$2:$D$19, 0)), 0)</f>
        <v>1.6240921092289137E-2</v>
      </c>
      <c r="F116">
        <f>IFERROR(IF(_xlfn.XLOOKUP(C116, ①オッズ入力!$A$2:$A$19, ①オッズ入力!$D$2:$D$19, "")="", 0, _xlfn.XLOOKUP(C116, ①オッズ入力!$A$2:$A$19, ①オッズ入力!$D$2:$D$19, 0)), 0)</f>
        <v>8.5478532064679671E-3</v>
      </c>
      <c r="G116">
        <f t="shared" si="2"/>
        <v>24192.469224919732</v>
      </c>
      <c r="H116">
        <f>IF(G116="", 0, IF(OR(A116=③資金配分!$D$1, A116=③資金配分!$D$2, B116=③資金配分!$D$1, B116=③資金配分!$D$2, C116=③資金配分!$D$1, C116=③資金配分!$D$2), 0, IF(OR(A116=③資金配分!$D$4, A116=③資金配分!$D$5, A116=③資金配分!$D$6, B116=③資金配分!$D$4, B116=③資金配分!$D$5, B116=③資金配分!$D$6, C116=③資金配分!$D$4, C116=③資金配分!$D$5, C116=③資金配分!$D$6), 0, IF(AND(③資金配分!$B$8&gt;0, G116&lt;=③資金配分!$B$8), 1, 0))))</f>
        <v>0</v>
      </c>
      <c r="I116">
        <f t="shared" si="3"/>
        <v>0</v>
      </c>
      <c r="J116">
        <f>IF(I116&gt;0, ROUND((I116 / SUM($I$2:$I$817)) * ③資金配分!$B$7, -2), 0)</f>
        <v>0</v>
      </c>
    </row>
    <row r="117" spans="1:10" x14ac:dyDescent="0.4">
      <c r="A117">
        <v>1</v>
      </c>
      <c r="B117">
        <v>12</v>
      </c>
      <c r="C117">
        <v>13</v>
      </c>
      <c r="D117">
        <f>IFERROR(IF(_xlfn.XLOOKUP(A117, ①オッズ入力!$A$2:$A$19, ①オッズ入力!$D$2:$D$19, "")="", 0, _xlfn.XLOOKUP(A117, ①オッズ入力!$A$2:$A$19, ①オッズ入力!$D$2:$D$19, 0)), 0)</f>
        <v>0.29775022002530088</v>
      </c>
      <c r="E117">
        <f>IFERROR(IF(_xlfn.XLOOKUP(B117, ①オッズ入力!$A$2:$A$19, ①オッズ入力!$D$2:$D$19, "")="", 0, _xlfn.XLOOKUP(B117, ①オッズ入力!$A$2:$A$19, ①オッズ入力!$D$2:$D$19, 0)), 0)</f>
        <v>1.4887511001265043E-2</v>
      </c>
      <c r="F117">
        <f>IFERROR(IF(_xlfn.XLOOKUP(C117, ①オッズ入力!$A$2:$A$19, ①オッズ入力!$D$2:$D$19, "")="", 0, _xlfn.XLOOKUP(C117, ①オッズ入力!$A$2:$A$19, ①オッズ入力!$D$2:$D$19, 0)), 0)</f>
        <v>1.2760723715370036E-2</v>
      </c>
      <c r="G117">
        <f t="shared" si="2"/>
        <v>17678.707393590754</v>
      </c>
      <c r="H117">
        <f>IF(G117="", 0, IF(OR(A117=③資金配分!$D$1, A117=③資金配分!$D$2, B117=③資金配分!$D$1, B117=③資金配分!$D$2, C117=③資金配分!$D$1, C117=③資金配分!$D$2), 0, IF(OR(A117=③資金配分!$D$4, A117=③資金配分!$D$5, A117=③資金配分!$D$6, B117=③資金配分!$D$4, B117=③資金配分!$D$5, B117=③資金配分!$D$6, C117=③資金配分!$D$4, C117=③資金配分!$D$5, C117=③資金配分!$D$6), 0, IF(AND(③資金配分!$B$8&gt;0, G117&lt;=③資金配分!$B$8), 1, 0))))</f>
        <v>0</v>
      </c>
      <c r="I117">
        <f t="shared" si="3"/>
        <v>0</v>
      </c>
      <c r="J117">
        <f>IF(I117&gt;0, ROUND((I117 / SUM($I$2:$I$817)) * ③資金配分!$B$7, -2), 0)</f>
        <v>0</v>
      </c>
    </row>
    <row r="118" spans="1:10" x14ac:dyDescent="0.4">
      <c r="A118">
        <v>1</v>
      </c>
      <c r="B118">
        <v>12</v>
      </c>
      <c r="C118">
        <v>14</v>
      </c>
      <c r="D118">
        <f>IFERROR(IF(_xlfn.XLOOKUP(A118, ①オッズ入力!$A$2:$A$19, ①オッズ入力!$D$2:$D$19, "")="", 0, _xlfn.XLOOKUP(A118, ①オッズ入力!$A$2:$A$19, ①オッズ入力!$D$2:$D$19, 0)), 0)</f>
        <v>0.29775022002530088</v>
      </c>
      <c r="E118">
        <f>IFERROR(IF(_xlfn.XLOOKUP(B118, ①オッズ入力!$A$2:$A$19, ①オッズ入力!$D$2:$D$19, "")="", 0, _xlfn.XLOOKUP(B118, ①オッズ入力!$A$2:$A$19, ①オッズ入力!$D$2:$D$19, 0)), 0)</f>
        <v>1.4887511001265043E-2</v>
      </c>
      <c r="F118">
        <f>IFERROR(IF(_xlfn.XLOOKUP(C118, ①オッズ入力!$A$2:$A$19, ①オッズ入力!$D$2:$D$19, "")="", 0, _xlfn.XLOOKUP(C118, ①オッズ入力!$A$2:$A$19, ①オッズ入力!$D$2:$D$19, 0)), 0)</f>
        <v>1.1525814968721322E-2</v>
      </c>
      <c r="G118">
        <f t="shared" si="2"/>
        <v>19572.854614332624</v>
      </c>
      <c r="H118">
        <f>IF(G118="", 0, IF(OR(A118=③資金配分!$D$1, A118=③資金配分!$D$2, B118=③資金配分!$D$1, B118=③資金配分!$D$2, C118=③資金配分!$D$1, C118=③資金配分!$D$2), 0, IF(OR(A118=③資金配分!$D$4, A118=③資金配分!$D$5, A118=③資金配分!$D$6, B118=③資金配分!$D$4, B118=③資金配分!$D$5, B118=③資金配分!$D$6, C118=③資金配分!$D$4, C118=③資金配分!$D$5, C118=③資金配分!$D$6), 0, IF(AND(③資金配分!$B$8&gt;0, G118&lt;=③資金配分!$B$8), 1, 0))))</f>
        <v>0</v>
      </c>
      <c r="I118">
        <f t="shared" si="3"/>
        <v>0</v>
      </c>
      <c r="J118">
        <f>IF(I118&gt;0, ROUND((I118 / SUM($I$2:$I$817)) * ③資金配分!$B$7, -2), 0)</f>
        <v>0</v>
      </c>
    </row>
    <row r="119" spans="1:10" x14ac:dyDescent="0.4">
      <c r="A119">
        <v>1</v>
      </c>
      <c r="B119">
        <v>12</v>
      </c>
      <c r="C119">
        <v>15</v>
      </c>
      <c r="D119">
        <f>IFERROR(IF(_xlfn.XLOOKUP(A119, ①オッズ入力!$A$2:$A$19, ①オッズ入力!$D$2:$D$19, "")="", 0, _xlfn.XLOOKUP(A119, ①オッズ入力!$A$2:$A$19, ①オッズ入力!$D$2:$D$19, 0)), 0)</f>
        <v>0.29775022002530088</v>
      </c>
      <c r="E119">
        <f>IFERROR(IF(_xlfn.XLOOKUP(B119, ①オッズ入力!$A$2:$A$19, ①オッズ入力!$D$2:$D$19, "")="", 0, _xlfn.XLOOKUP(B119, ①オッズ入力!$A$2:$A$19, ①オッズ入力!$D$2:$D$19, 0)), 0)</f>
        <v>1.4887511001265043E-2</v>
      </c>
      <c r="F119">
        <f>IFERROR(IF(_xlfn.XLOOKUP(C119, ①オッズ入力!$A$2:$A$19, ①オッズ入力!$D$2:$D$19, "")="", 0, _xlfn.XLOOKUP(C119, ①オッズ入力!$A$2:$A$19, ①オッズ入力!$D$2:$D$19, 0)), 0)</f>
        <v>1.0697612695519792E-2</v>
      </c>
      <c r="G119">
        <f t="shared" si="2"/>
        <v>21088.172390926113</v>
      </c>
      <c r="H119">
        <f>IF(G119="", 0, IF(OR(A119=③資金配分!$D$1, A119=③資金配分!$D$2, B119=③資金配分!$D$1, B119=③資金配分!$D$2, C119=③資金配分!$D$1, C119=③資金配分!$D$2), 0, IF(OR(A119=③資金配分!$D$4, A119=③資金配分!$D$5, A119=③資金配分!$D$6, B119=③資金配分!$D$4, B119=③資金配分!$D$5, B119=③資金配分!$D$6, C119=③資金配分!$D$4, C119=③資金配分!$D$5, C119=③資金配分!$D$6), 0, IF(AND(③資金配分!$B$8&gt;0, G119&lt;=③資金配分!$B$8), 1, 0))))</f>
        <v>0</v>
      </c>
      <c r="I119">
        <f t="shared" si="3"/>
        <v>0</v>
      </c>
      <c r="J119">
        <f>IF(I119&gt;0, ROUND((I119 / SUM($I$2:$I$817)) * ③資金配分!$B$7, -2), 0)</f>
        <v>0</v>
      </c>
    </row>
    <row r="120" spans="1:10" x14ac:dyDescent="0.4">
      <c r="A120">
        <v>1</v>
      </c>
      <c r="B120">
        <v>12</v>
      </c>
      <c r="C120">
        <v>16</v>
      </c>
      <c r="D120">
        <f>IFERROR(IF(_xlfn.XLOOKUP(A120, ①オッズ入力!$A$2:$A$19, ①オッズ入力!$D$2:$D$19, "")="", 0, _xlfn.XLOOKUP(A120, ①オッズ入力!$A$2:$A$19, ①オッズ入力!$D$2:$D$19, 0)), 0)</f>
        <v>0.29775022002530088</v>
      </c>
      <c r="E120">
        <f>IFERROR(IF(_xlfn.XLOOKUP(B120, ①オッズ入力!$A$2:$A$19, ①オッズ入力!$D$2:$D$19, "")="", 0, _xlfn.XLOOKUP(B120, ①オッズ入力!$A$2:$A$19, ①オッズ入力!$D$2:$D$19, 0)), 0)</f>
        <v>1.4887511001265043E-2</v>
      </c>
      <c r="F120">
        <f>IFERROR(IF(_xlfn.XLOOKUP(C120, ①オッズ入力!$A$2:$A$19, ①オッズ入力!$D$2:$D$19, "")="", 0, _xlfn.XLOOKUP(C120, ①オッズ入力!$A$2:$A$19, ①オッズ入力!$D$2:$D$19, 0)), 0)</f>
        <v>9.8701730395127345E-3</v>
      </c>
      <c r="G120">
        <f t="shared" si="2"/>
        <v>22856.04313028519</v>
      </c>
      <c r="H120">
        <f>IF(G120="", 0, IF(OR(A120=③資金配分!$D$1, A120=③資金配分!$D$2, B120=③資金配分!$D$1, B120=③資金配分!$D$2, C120=③資金配分!$D$1, C120=③資金配分!$D$2), 0, IF(OR(A120=③資金配分!$D$4, A120=③資金配分!$D$5, A120=③資金配分!$D$6, B120=③資金配分!$D$4, B120=③資金配分!$D$5, B120=③資金配分!$D$6, C120=③資金配分!$D$4, C120=③資金配分!$D$5, C120=③資金配分!$D$6), 0, IF(AND(③資金配分!$B$8&gt;0, G120&lt;=③資金配分!$B$8), 1, 0))))</f>
        <v>0</v>
      </c>
      <c r="I120">
        <f t="shared" si="3"/>
        <v>0</v>
      </c>
      <c r="J120">
        <f>IF(I120&gt;0, ROUND((I120 / SUM($I$2:$I$817)) * ③資金配分!$B$7, -2), 0)</f>
        <v>0</v>
      </c>
    </row>
    <row r="121" spans="1:10" x14ac:dyDescent="0.4">
      <c r="A121">
        <v>1</v>
      </c>
      <c r="B121">
        <v>12</v>
      </c>
      <c r="C121">
        <v>17</v>
      </c>
      <c r="D121">
        <f>IFERROR(IF(_xlfn.XLOOKUP(A121, ①オッズ入力!$A$2:$A$19, ①オッズ入力!$D$2:$D$19, "")="", 0, _xlfn.XLOOKUP(A121, ①オッズ入力!$A$2:$A$19, ①オッズ入力!$D$2:$D$19, 0)), 0)</f>
        <v>0.29775022002530088</v>
      </c>
      <c r="E121">
        <f>IFERROR(IF(_xlfn.XLOOKUP(B121, ①オッズ入力!$A$2:$A$19, ①オッズ入力!$D$2:$D$19, "")="", 0, _xlfn.XLOOKUP(B121, ①オッズ入力!$A$2:$A$19, ①オッズ入力!$D$2:$D$19, 0)), 0)</f>
        <v>1.4887511001265043E-2</v>
      </c>
      <c r="F121">
        <f>IFERROR(IF(_xlfn.XLOOKUP(C121, ①オッズ入力!$A$2:$A$19, ①オッズ入力!$D$2:$D$19, "")="", 0, _xlfn.XLOOKUP(C121, ①オッズ入力!$A$2:$A$19, ①オッズ入力!$D$2:$D$19, 0)), 0)</f>
        <v>9.1615452315477186E-3</v>
      </c>
      <c r="G121">
        <f t="shared" si="2"/>
        <v>24623.913869644264</v>
      </c>
      <c r="H121">
        <f>IF(G121="", 0, IF(OR(A121=③資金配分!$D$1, A121=③資金配分!$D$2, B121=③資金配分!$D$1, B121=③資金配分!$D$2, C121=③資金配分!$D$1, C121=③資金配分!$D$2), 0, IF(OR(A121=③資金配分!$D$4, A121=③資金配分!$D$5, A121=③資金配分!$D$6, B121=③資金配分!$D$4, B121=③資金配分!$D$5, B121=③資金配分!$D$6, C121=③資金配分!$D$4, C121=③資金配分!$D$5, C121=③資金配分!$D$6), 0, IF(AND(③資金配分!$B$8&gt;0, G121&lt;=③資金配分!$B$8), 1, 0))))</f>
        <v>0</v>
      </c>
      <c r="I121">
        <f t="shared" si="3"/>
        <v>0</v>
      </c>
      <c r="J121">
        <f>IF(I121&gt;0, ROUND((I121 / SUM($I$2:$I$817)) * ③資金配分!$B$7, -2), 0)</f>
        <v>0</v>
      </c>
    </row>
    <row r="122" spans="1:10" x14ac:dyDescent="0.4">
      <c r="A122">
        <v>1</v>
      </c>
      <c r="B122">
        <v>12</v>
      </c>
      <c r="C122">
        <v>18</v>
      </c>
      <c r="D122">
        <f>IFERROR(IF(_xlfn.XLOOKUP(A122, ①オッズ入力!$A$2:$A$19, ①オッズ入力!$D$2:$D$19, "")="", 0, _xlfn.XLOOKUP(A122, ①オッズ入力!$A$2:$A$19, ①オッズ入力!$D$2:$D$19, 0)), 0)</f>
        <v>0.29775022002530088</v>
      </c>
      <c r="E122">
        <f>IFERROR(IF(_xlfn.XLOOKUP(B122, ①オッズ入力!$A$2:$A$19, ①オッズ入力!$D$2:$D$19, "")="", 0, _xlfn.XLOOKUP(B122, ①オッズ入力!$A$2:$A$19, ①オッズ入力!$D$2:$D$19, 0)), 0)</f>
        <v>1.4887511001265043E-2</v>
      </c>
      <c r="F122">
        <f>IFERROR(IF(_xlfn.XLOOKUP(C122, ①オッズ入力!$A$2:$A$19, ①オッズ入力!$D$2:$D$19, "")="", 0, _xlfn.XLOOKUP(C122, ①オッズ入力!$A$2:$A$19, ①オッズ入力!$D$2:$D$19, 0)), 0)</f>
        <v>8.5478532064679671E-3</v>
      </c>
      <c r="G122">
        <f t="shared" si="2"/>
        <v>26391.784609003338</v>
      </c>
      <c r="H122">
        <f>IF(G122="", 0, IF(OR(A122=③資金配分!$D$1, A122=③資金配分!$D$2, B122=③資金配分!$D$1, B122=③資金配分!$D$2, C122=③資金配分!$D$1, C122=③資金配分!$D$2), 0, IF(OR(A122=③資金配分!$D$4, A122=③資金配分!$D$5, A122=③資金配分!$D$6, B122=③資金配分!$D$4, B122=③資金配分!$D$5, B122=③資金配分!$D$6, C122=③資金配分!$D$4, C122=③資金配分!$D$5, C122=③資金配分!$D$6), 0, IF(AND(③資金配分!$B$8&gt;0, G122&lt;=③資金配分!$B$8), 1, 0))))</f>
        <v>0</v>
      </c>
      <c r="I122">
        <f t="shared" si="3"/>
        <v>0</v>
      </c>
      <c r="J122">
        <f>IF(I122&gt;0, ROUND((I122 / SUM($I$2:$I$817)) * ③資金配分!$B$7, -2), 0)</f>
        <v>0</v>
      </c>
    </row>
    <row r="123" spans="1:10" x14ac:dyDescent="0.4">
      <c r="A123">
        <v>1</v>
      </c>
      <c r="B123">
        <v>13</v>
      </c>
      <c r="C123">
        <v>14</v>
      </c>
      <c r="D123">
        <f>IFERROR(IF(_xlfn.XLOOKUP(A123, ①オッズ入力!$A$2:$A$19, ①オッズ入力!$D$2:$D$19, "")="", 0, _xlfn.XLOOKUP(A123, ①オッズ入力!$A$2:$A$19, ①オッズ入力!$D$2:$D$19, 0)), 0)</f>
        <v>0.29775022002530088</v>
      </c>
      <c r="E123">
        <f>IFERROR(IF(_xlfn.XLOOKUP(B123, ①オッズ入力!$A$2:$A$19, ①オッズ入力!$D$2:$D$19, "")="", 0, _xlfn.XLOOKUP(B123, ①オッズ入力!$A$2:$A$19, ①オッズ入力!$D$2:$D$19, 0)), 0)</f>
        <v>1.2760723715370036E-2</v>
      </c>
      <c r="F123">
        <f>IFERROR(IF(_xlfn.XLOOKUP(C123, ①オッズ入力!$A$2:$A$19, ①オッズ入力!$D$2:$D$19, "")="", 0, _xlfn.XLOOKUP(C123, ①オッズ入力!$A$2:$A$19, ①オッズ入力!$D$2:$D$19, 0)), 0)</f>
        <v>1.1525814968721322E-2</v>
      </c>
      <c r="G123">
        <f t="shared" si="2"/>
        <v>22834.997050054728</v>
      </c>
      <c r="H123">
        <f>IF(G123="", 0, IF(OR(A123=③資金配分!$D$1, A123=③資金配分!$D$2, B123=③資金配分!$D$1, B123=③資金配分!$D$2, C123=③資金配分!$D$1, C123=③資金配分!$D$2), 0, IF(OR(A123=③資金配分!$D$4, A123=③資金配分!$D$5, A123=③資金配分!$D$6, B123=③資金配分!$D$4, B123=③資金配分!$D$5, B123=③資金配分!$D$6, C123=③資金配分!$D$4, C123=③資金配分!$D$5, C123=③資金配分!$D$6), 0, IF(AND(③資金配分!$B$8&gt;0, G123&lt;=③資金配分!$B$8), 1, 0))))</f>
        <v>0</v>
      </c>
      <c r="I123">
        <f t="shared" si="3"/>
        <v>0</v>
      </c>
      <c r="J123">
        <f>IF(I123&gt;0, ROUND((I123 / SUM($I$2:$I$817)) * ③資金配分!$B$7, -2), 0)</f>
        <v>0</v>
      </c>
    </row>
    <row r="124" spans="1:10" x14ac:dyDescent="0.4">
      <c r="A124">
        <v>1</v>
      </c>
      <c r="B124">
        <v>13</v>
      </c>
      <c r="C124">
        <v>15</v>
      </c>
      <c r="D124">
        <f>IFERROR(IF(_xlfn.XLOOKUP(A124, ①オッズ入力!$A$2:$A$19, ①オッズ入力!$D$2:$D$19, "")="", 0, _xlfn.XLOOKUP(A124, ①オッズ入力!$A$2:$A$19, ①オッズ入力!$D$2:$D$19, 0)), 0)</f>
        <v>0.29775022002530088</v>
      </c>
      <c r="E124">
        <f>IFERROR(IF(_xlfn.XLOOKUP(B124, ①オッズ入力!$A$2:$A$19, ①オッズ入力!$D$2:$D$19, "")="", 0, _xlfn.XLOOKUP(B124, ①オッズ入力!$A$2:$A$19, ①オッズ入力!$D$2:$D$19, 0)), 0)</f>
        <v>1.2760723715370036E-2</v>
      </c>
      <c r="F124">
        <f>IFERROR(IF(_xlfn.XLOOKUP(C124, ①オッズ入力!$A$2:$A$19, ①オッズ入力!$D$2:$D$19, "")="", 0, _xlfn.XLOOKUP(C124, ①オッズ入力!$A$2:$A$19, ①オッズ入力!$D$2:$D$19, 0)), 0)</f>
        <v>1.0697612695519792E-2</v>
      </c>
      <c r="G124">
        <f t="shared" si="2"/>
        <v>24602.867789413802</v>
      </c>
      <c r="H124">
        <f>IF(G124="", 0, IF(OR(A124=③資金配分!$D$1, A124=③資金配分!$D$2, B124=③資金配分!$D$1, B124=③資金配分!$D$2, C124=③資金配分!$D$1, C124=③資金配分!$D$2), 0, IF(OR(A124=③資金配分!$D$4, A124=③資金配分!$D$5, A124=③資金配分!$D$6, B124=③資金配分!$D$4, B124=③資金配分!$D$5, B124=③資金配分!$D$6, C124=③資金配分!$D$4, C124=③資金配分!$D$5, C124=③資金配分!$D$6), 0, IF(AND(③資金配分!$B$8&gt;0, G124&lt;=③資金配分!$B$8), 1, 0))))</f>
        <v>0</v>
      </c>
      <c r="I124">
        <f t="shared" si="3"/>
        <v>0</v>
      </c>
      <c r="J124">
        <f>IF(I124&gt;0, ROUND((I124 / SUM($I$2:$I$817)) * ③資金配分!$B$7, -2), 0)</f>
        <v>0</v>
      </c>
    </row>
    <row r="125" spans="1:10" x14ac:dyDescent="0.4">
      <c r="A125">
        <v>1</v>
      </c>
      <c r="B125">
        <v>13</v>
      </c>
      <c r="C125">
        <v>16</v>
      </c>
      <c r="D125">
        <f>IFERROR(IF(_xlfn.XLOOKUP(A125, ①オッズ入力!$A$2:$A$19, ①オッズ入力!$D$2:$D$19, "")="", 0, _xlfn.XLOOKUP(A125, ①オッズ入力!$A$2:$A$19, ①オッズ入力!$D$2:$D$19, 0)), 0)</f>
        <v>0.29775022002530088</v>
      </c>
      <c r="E125">
        <f>IFERROR(IF(_xlfn.XLOOKUP(B125, ①オッズ入力!$A$2:$A$19, ①オッズ入力!$D$2:$D$19, "")="", 0, _xlfn.XLOOKUP(B125, ①オッズ入力!$A$2:$A$19, ①オッズ入力!$D$2:$D$19, 0)), 0)</f>
        <v>1.2760723715370036E-2</v>
      </c>
      <c r="F125">
        <f>IFERROR(IF(_xlfn.XLOOKUP(C125, ①オッズ入力!$A$2:$A$19, ①オッズ入力!$D$2:$D$19, "")="", 0, _xlfn.XLOOKUP(C125, ①オッズ入力!$A$2:$A$19, ①オッズ入力!$D$2:$D$19, 0)), 0)</f>
        <v>9.8701730395127345E-3</v>
      </c>
      <c r="G125">
        <f t="shared" si="2"/>
        <v>26665.383651999397</v>
      </c>
      <c r="H125">
        <f>IF(G125="", 0, IF(OR(A125=③資金配分!$D$1, A125=③資金配分!$D$2, B125=③資金配分!$D$1, B125=③資金配分!$D$2, C125=③資金配分!$D$1, C125=③資金配分!$D$2), 0, IF(OR(A125=③資金配分!$D$4, A125=③資金配分!$D$5, A125=③資金配分!$D$6, B125=③資金配分!$D$4, B125=③資金配分!$D$5, B125=③資金配分!$D$6, C125=③資金配分!$D$4, C125=③資金配分!$D$5, C125=③資金配分!$D$6), 0, IF(AND(③資金配分!$B$8&gt;0, G125&lt;=③資金配分!$B$8), 1, 0))))</f>
        <v>0</v>
      </c>
      <c r="I125">
        <f t="shared" si="3"/>
        <v>0</v>
      </c>
      <c r="J125">
        <f>IF(I125&gt;0, ROUND((I125 / SUM($I$2:$I$817)) * ③資金配分!$B$7, -2), 0)</f>
        <v>0</v>
      </c>
    </row>
    <row r="126" spans="1:10" x14ac:dyDescent="0.4">
      <c r="A126">
        <v>1</v>
      </c>
      <c r="B126">
        <v>13</v>
      </c>
      <c r="C126">
        <v>17</v>
      </c>
      <c r="D126">
        <f>IFERROR(IF(_xlfn.XLOOKUP(A126, ①オッズ入力!$A$2:$A$19, ①オッズ入力!$D$2:$D$19, "")="", 0, _xlfn.XLOOKUP(A126, ①オッズ入力!$A$2:$A$19, ①オッズ入力!$D$2:$D$19, 0)), 0)</f>
        <v>0.29775022002530088</v>
      </c>
      <c r="E126">
        <f>IFERROR(IF(_xlfn.XLOOKUP(B126, ①オッズ入力!$A$2:$A$19, ①オッズ入力!$D$2:$D$19, "")="", 0, _xlfn.XLOOKUP(B126, ①オッズ入力!$A$2:$A$19, ①オッズ入力!$D$2:$D$19, 0)), 0)</f>
        <v>1.2760723715370036E-2</v>
      </c>
      <c r="F126">
        <f>IFERROR(IF(_xlfn.XLOOKUP(C126, ①オッズ入力!$A$2:$A$19, ①オッズ入力!$D$2:$D$19, "")="", 0, _xlfn.XLOOKUP(C126, ①オッズ入力!$A$2:$A$19, ①オッズ入力!$D$2:$D$19, 0)), 0)</f>
        <v>9.1615452315477186E-3</v>
      </c>
      <c r="G126">
        <f t="shared" si="2"/>
        <v>28727.89951458498</v>
      </c>
      <c r="H126">
        <f>IF(G126="", 0, IF(OR(A126=③資金配分!$D$1, A126=③資金配分!$D$2, B126=③資金配分!$D$1, B126=③資金配分!$D$2, C126=③資金配分!$D$1, C126=③資金配分!$D$2), 0, IF(OR(A126=③資金配分!$D$4, A126=③資金配分!$D$5, A126=③資金配分!$D$6, B126=③資金配分!$D$4, B126=③資金配分!$D$5, B126=③資金配分!$D$6, C126=③資金配分!$D$4, C126=③資金配分!$D$5, C126=③資金配分!$D$6), 0, IF(AND(③資金配分!$B$8&gt;0, G126&lt;=③資金配分!$B$8), 1, 0))))</f>
        <v>0</v>
      </c>
      <c r="I126">
        <f t="shared" si="3"/>
        <v>0</v>
      </c>
      <c r="J126">
        <f>IF(I126&gt;0, ROUND((I126 / SUM($I$2:$I$817)) * ③資金配分!$B$7, -2), 0)</f>
        <v>0</v>
      </c>
    </row>
    <row r="127" spans="1:10" x14ac:dyDescent="0.4">
      <c r="A127">
        <v>1</v>
      </c>
      <c r="B127">
        <v>13</v>
      </c>
      <c r="C127">
        <v>18</v>
      </c>
      <c r="D127">
        <f>IFERROR(IF(_xlfn.XLOOKUP(A127, ①オッズ入力!$A$2:$A$19, ①オッズ入力!$D$2:$D$19, "")="", 0, _xlfn.XLOOKUP(A127, ①オッズ入力!$A$2:$A$19, ①オッズ入力!$D$2:$D$19, 0)), 0)</f>
        <v>0.29775022002530088</v>
      </c>
      <c r="E127">
        <f>IFERROR(IF(_xlfn.XLOOKUP(B127, ①オッズ入力!$A$2:$A$19, ①オッズ入力!$D$2:$D$19, "")="", 0, _xlfn.XLOOKUP(B127, ①オッズ入力!$A$2:$A$19, ①オッズ入力!$D$2:$D$19, 0)), 0)</f>
        <v>1.2760723715370036E-2</v>
      </c>
      <c r="F127">
        <f>IFERROR(IF(_xlfn.XLOOKUP(C127, ①オッズ入力!$A$2:$A$19, ①オッズ入力!$D$2:$D$19, "")="", 0, _xlfn.XLOOKUP(C127, ①オッズ入力!$A$2:$A$19, ①オッズ入力!$D$2:$D$19, 0)), 0)</f>
        <v>8.5478532064679671E-3</v>
      </c>
      <c r="G127">
        <f t="shared" si="2"/>
        <v>30790.415377170571</v>
      </c>
      <c r="H127">
        <f>IF(G127="", 0, IF(OR(A127=③資金配分!$D$1, A127=③資金配分!$D$2, B127=③資金配分!$D$1, B127=③資金配分!$D$2, C127=③資金配分!$D$1, C127=③資金配分!$D$2), 0, IF(OR(A127=③資金配分!$D$4, A127=③資金配分!$D$5, A127=③資金配分!$D$6, B127=③資金配分!$D$4, B127=③資金配分!$D$5, B127=③資金配分!$D$6, C127=③資金配分!$D$4, C127=③資金配分!$D$5, C127=③資金配分!$D$6), 0, IF(AND(③資金配分!$B$8&gt;0, G127&lt;=③資金配分!$B$8), 1, 0))))</f>
        <v>0</v>
      </c>
      <c r="I127">
        <f t="shared" si="3"/>
        <v>0</v>
      </c>
      <c r="J127">
        <f>IF(I127&gt;0, ROUND((I127 / SUM($I$2:$I$817)) * ③資金配分!$B$7, -2), 0)</f>
        <v>0</v>
      </c>
    </row>
    <row r="128" spans="1:10" x14ac:dyDescent="0.4">
      <c r="A128">
        <v>1</v>
      </c>
      <c r="B128">
        <v>14</v>
      </c>
      <c r="C128">
        <v>15</v>
      </c>
      <c r="D128">
        <f>IFERROR(IF(_xlfn.XLOOKUP(A128, ①オッズ入力!$A$2:$A$19, ①オッズ入力!$D$2:$D$19, "")="", 0, _xlfn.XLOOKUP(A128, ①オッズ入力!$A$2:$A$19, ①オッズ入力!$D$2:$D$19, 0)), 0)</f>
        <v>0.29775022002530088</v>
      </c>
      <c r="E128">
        <f>IFERROR(IF(_xlfn.XLOOKUP(B128, ①オッズ入力!$A$2:$A$19, ①オッズ入力!$D$2:$D$19, "")="", 0, _xlfn.XLOOKUP(B128, ①オッズ入力!$A$2:$A$19, ①オッズ入力!$D$2:$D$19, 0)), 0)</f>
        <v>1.1525814968721322E-2</v>
      </c>
      <c r="F128">
        <f>IFERROR(IF(_xlfn.XLOOKUP(C128, ①オッズ入力!$A$2:$A$19, ①オッズ入力!$D$2:$D$19, "")="", 0, _xlfn.XLOOKUP(C128, ①オッズ入力!$A$2:$A$19, ①オッズ入力!$D$2:$D$19, 0)), 0)</f>
        <v>1.0697612695519792E-2</v>
      </c>
      <c r="G128">
        <f t="shared" si="2"/>
        <v>27238.889338279565</v>
      </c>
      <c r="H128">
        <f>IF(G128="", 0, IF(OR(A128=③資金配分!$D$1, A128=③資金配分!$D$2, B128=③資金配分!$D$1, B128=③資金配分!$D$2, C128=③資金配分!$D$1, C128=③資金配分!$D$2), 0, IF(OR(A128=③資金配分!$D$4, A128=③資金配分!$D$5, A128=③資金配分!$D$6, B128=③資金配分!$D$4, B128=③資金配分!$D$5, B128=③資金配分!$D$6, C128=③資金配分!$D$4, C128=③資金配分!$D$5, C128=③資金配分!$D$6), 0, IF(AND(③資金配分!$B$8&gt;0, G128&lt;=③資金配分!$B$8), 1, 0))))</f>
        <v>0</v>
      </c>
      <c r="I128">
        <f t="shared" si="3"/>
        <v>0</v>
      </c>
      <c r="J128">
        <f>IF(I128&gt;0, ROUND((I128 / SUM($I$2:$I$817)) * ③資金配分!$B$7, -2), 0)</f>
        <v>0</v>
      </c>
    </row>
    <row r="129" spans="1:10" x14ac:dyDescent="0.4">
      <c r="A129">
        <v>1</v>
      </c>
      <c r="B129">
        <v>14</v>
      </c>
      <c r="C129">
        <v>16</v>
      </c>
      <c r="D129">
        <f>IFERROR(IF(_xlfn.XLOOKUP(A129, ①オッズ入力!$A$2:$A$19, ①オッズ入力!$D$2:$D$19, "")="", 0, _xlfn.XLOOKUP(A129, ①オッズ入力!$A$2:$A$19, ①オッズ入力!$D$2:$D$19, 0)), 0)</f>
        <v>0.29775022002530088</v>
      </c>
      <c r="E129">
        <f>IFERROR(IF(_xlfn.XLOOKUP(B129, ①オッズ入力!$A$2:$A$19, ①オッズ入力!$D$2:$D$19, "")="", 0, _xlfn.XLOOKUP(B129, ①オッズ入力!$A$2:$A$19, ①オッズ入力!$D$2:$D$19, 0)), 0)</f>
        <v>1.1525814968721322E-2</v>
      </c>
      <c r="F129">
        <f>IFERROR(IF(_xlfn.XLOOKUP(C129, ①オッズ入力!$A$2:$A$19, ①オッズ入力!$D$2:$D$19, "")="", 0, _xlfn.XLOOKUP(C129, ①オッズ入力!$A$2:$A$19, ①オッズ入力!$D$2:$D$19, 0)), 0)</f>
        <v>9.8701730395127345E-3</v>
      </c>
      <c r="G129">
        <f t="shared" si="2"/>
        <v>29522.389043285042</v>
      </c>
      <c r="H129">
        <f>IF(G129="", 0, IF(OR(A129=③資金配分!$D$1, A129=③資金配分!$D$2, B129=③資金配分!$D$1, B129=③資金配分!$D$2, C129=③資金配分!$D$1, C129=③資金配分!$D$2), 0, IF(OR(A129=③資金配分!$D$4, A129=③資金配分!$D$5, A129=③資金配分!$D$6, B129=③資金配分!$D$4, B129=③資金配分!$D$5, B129=③資金配分!$D$6, C129=③資金配分!$D$4, C129=③資金配分!$D$5, C129=③資金配分!$D$6), 0, IF(AND(③資金配分!$B$8&gt;0, G129&lt;=③資金配分!$B$8), 1, 0))))</f>
        <v>0</v>
      </c>
      <c r="I129">
        <f t="shared" si="3"/>
        <v>0</v>
      </c>
      <c r="J129">
        <f>IF(I129&gt;0, ROUND((I129 / SUM($I$2:$I$817)) * ③資金配分!$B$7, -2), 0)</f>
        <v>0</v>
      </c>
    </row>
    <row r="130" spans="1:10" x14ac:dyDescent="0.4">
      <c r="A130">
        <v>1</v>
      </c>
      <c r="B130">
        <v>14</v>
      </c>
      <c r="C130">
        <v>17</v>
      </c>
      <c r="D130">
        <f>IFERROR(IF(_xlfn.XLOOKUP(A130, ①オッズ入力!$A$2:$A$19, ①オッズ入力!$D$2:$D$19, "")="", 0, _xlfn.XLOOKUP(A130, ①オッズ入力!$A$2:$A$19, ①オッズ入力!$D$2:$D$19, 0)), 0)</f>
        <v>0.29775022002530088</v>
      </c>
      <c r="E130">
        <f>IFERROR(IF(_xlfn.XLOOKUP(B130, ①オッズ入力!$A$2:$A$19, ①オッズ入力!$D$2:$D$19, "")="", 0, _xlfn.XLOOKUP(B130, ①オッズ入力!$A$2:$A$19, ①オッズ入力!$D$2:$D$19, 0)), 0)</f>
        <v>1.1525814968721322E-2</v>
      </c>
      <c r="F130">
        <f>IFERROR(IF(_xlfn.XLOOKUP(C130, ①オッズ入力!$A$2:$A$19, ①オッズ入力!$D$2:$D$19, "")="", 0, _xlfn.XLOOKUP(C130, ①オッズ入力!$A$2:$A$19, ①オッズ入力!$D$2:$D$19, 0)), 0)</f>
        <v>9.1615452315477186E-3</v>
      </c>
      <c r="G130">
        <f t="shared" si="2"/>
        <v>31805.888748290516</v>
      </c>
      <c r="H130">
        <f>IF(G130="", 0, IF(OR(A130=③資金配分!$D$1, A130=③資金配分!$D$2, B130=③資金配分!$D$1, B130=③資金配分!$D$2, C130=③資金配分!$D$1, C130=③資金配分!$D$2), 0, IF(OR(A130=③資金配分!$D$4, A130=③資金配分!$D$5, A130=③資金配分!$D$6, B130=③資金配分!$D$4, B130=③資金配分!$D$5, B130=③資金配分!$D$6, C130=③資金配分!$D$4, C130=③資金配分!$D$5, C130=③資金配分!$D$6), 0, IF(AND(③資金配分!$B$8&gt;0, G130&lt;=③資金配分!$B$8), 1, 0))))</f>
        <v>0</v>
      </c>
      <c r="I130">
        <f t="shared" si="3"/>
        <v>0</v>
      </c>
      <c r="J130">
        <f>IF(I130&gt;0, ROUND((I130 / SUM($I$2:$I$817)) * ③資金配分!$B$7, -2), 0)</f>
        <v>0</v>
      </c>
    </row>
    <row r="131" spans="1:10" x14ac:dyDescent="0.4">
      <c r="A131">
        <v>1</v>
      </c>
      <c r="B131">
        <v>14</v>
      </c>
      <c r="C131">
        <v>18</v>
      </c>
      <c r="D131">
        <f>IFERROR(IF(_xlfn.XLOOKUP(A131, ①オッズ入力!$A$2:$A$19, ①オッズ入力!$D$2:$D$19, "")="", 0, _xlfn.XLOOKUP(A131, ①オッズ入力!$A$2:$A$19, ①オッズ入力!$D$2:$D$19, 0)), 0)</f>
        <v>0.29775022002530088</v>
      </c>
      <c r="E131">
        <f>IFERROR(IF(_xlfn.XLOOKUP(B131, ①オッズ入力!$A$2:$A$19, ①オッズ入力!$D$2:$D$19, "")="", 0, _xlfn.XLOOKUP(B131, ①オッズ入力!$A$2:$A$19, ①オッズ入力!$D$2:$D$19, 0)), 0)</f>
        <v>1.1525814968721322E-2</v>
      </c>
      <c r="F131">
        <f>IFERROR(IF(_xlfn.XLOOKUP(C131, ①オッズ入力!$A$2:$A$19, ①オッズ入力!$D$2:$D$19, "")="", 0, _xlfn.XLOOKUP(C131, ①オッズ入力!$A$2:$A$19, ①オッズ入力!$D$2:$D$19, 0)), 0)</f>
        <v>8.5478532064679671E-3</v>
      </c>
      <c r="G131">
        <f t="shared" ref="G131:G194" si="4">IF(OR(D131=0, E131=0, F131=0), "", 1/(D131*E131*F131))</f>
        <v>34089.388453295986</v>
      </c>
      <c r="H131">
        <f>IF(G131="", 0, IF(OR(A131=③資金配分!$D$1, A131=③資金配分!$D$2, B131=③資金配分!$D$1, B131=③資金配分!$D$2, C131=③資金配分!$D$1, C131=③資金配分!$D$2), 0, IF(OR(A131=③資金配分!$D$4, A131=③資金配分!$D$5, A131=③資金配分!$D$6, B131=③資金配分!$D$4, B131=③資金配分!$D$5, B131=③資金配分!$D$6, C131=③資金配分!$D$4, C131=③資金配分!$D$5, C131=③資金配分!$D$6), 0, IF(AND(③資金配分!$B$8&gt;0, G131&lt;=③資金配分!$B$8), 1, 0))))</f>
        <v>0</v>
      </c>
      <c r="I131">
        <f t="shared" ref="I131:I194" si="5">IF(H131=1, 1/G131, 0)</f>
        <v>0</v>
      </c>
      <c r="J131">
        <f>IF(I131&gt;0, ROUND((I131 / SUM($I$2:$I$817)) * ③資金配分!$B$7, -2), 0)</f>
        <v>0</v>
      </c>
    </row>
    <row r="132" spans="1:10" x14ac:dyDescent="0.4">
      <c r="A132">
        <v>1</v>
      </c>
      <c r="B132">
        <v>15</v>
      </c>
      <c r="C132">
        <v>16</v>
      </c>
      <c r="D132">
        <f>IFERROR(IF(_xlfn.XLOOKUP(A132, ①オッズ入力!$A$2:$A$19, ①オッズ入力!$D$2:$D$19, "")="", 0, _xlfn.XLOOKUP(A132, ①オッズ入力!$A$2:$A$19, ①オッズ入力!$D$2:$D$19, 0)), 0)</f>
        <v>0.29775022002530088</v>
      </c>
      <c r="E132">
        <f>IFERROR(IF(_xlfn.XLOOKUP(B132, ①オッズ入力!$A$2:$A$19, ①オッズ入力!$D$2:$D$19, "")="", 0, _xlfn.XLOOKUP(B132, ①オッズ入力!$A$2:$A$19, ①オッズ入力!$D$2:$D$19, 0)), 0)</f>
        <v>1.0697612695519792E-2</v>
      </c>
      <c r="F132">
        <f>IFERROR(IF(_xlfn.XLOOKUP(C132, ①オッズ入力!$A$2:$A$19, ①オッズ入力!$D$2:$D$19, "")="", 0, _xlfn.XLOOKUP(C132, ①オッズ入力!$A$2:$A$19, ①オッズ入力!$D$2:$D$19, 0)), 0)</f>
        <v>9.8701730395127345E-3</v>
      </c>
      <c r="G132">
        <f t="shared" si="4"/>
        <v>31807.99335631356</v>
      </c>
      <c r="H132">
        <f>IF(G132="", 0, IF(OR(A132=③資金配分!$D$1, A132=③資金配分!$D$2, B132=③資金配分!$D$1, B132=③資金配分!$D$2, C132=③資金配分!$D$1, C132=③資金配分!$D$2), 0, IF(OR(A132=③資金配分!$D$4, A132=③資金配分!$D$5, A132=③資金配分!$D$6, B132=③資金配分!$D$4, B132=③資金配分!$D$5, B132=③資金配分!$D$6, C132=③資金配分!$D$4, C132=③資金配分!$D$5, C132=③資金配分!$D$6), 0, IF(AND(③資金配分!$B$8&gt;0, G132&lt;=③資金配分!$B$8), 1, 0))))</f>
        <v>0</v>
      </c>
      <c r="I132">
        <f t="shared" si="5"/>
        <v>0</v>
      </c>
      <c r="J132">
        <f>IF(I132&gt;0, ROUND((I132 / SUM($I$2:$I$817)) * ③資金配分!$B$7, -2), 0)</f>
        <v>0</v>
      </c>
    </row>
    <row r="133" spans="1:10" x14ac:dyDescent="0.4">
      <c r="A133">
        <v>1</v>
      </c>
      <c r="B133">
        <v>15</v>
      </c>
      <c r="C133">
        <v>17</v>
      </c>
      <c r="D133">
        <f>IFERROR(IF(_xlfn.XLOOKUP(A133, ①オッズ入力!$A$2:$A$19, ①オッズ入力!$D$2:$D$19, "")="", 0, _xlfn.XLOOKUP(A133, ①オッズ入力!$A$2:$A$19, ①オッズ入力!$D$2:$D$19, 0)), 0)</f>
        <v>0.29775022002530088</v>
      </c>
      <c r="E133">
        <f>IFERROR(IF(_xlfn.XLOOKUP(B133, ①オッズ入力!$A$2:$A$19, ①オッズ入力!$D$2:$D$19, "")="", 0, _xlfn.XLOOKUP(B133, ①オッズ入力!$A$2:$A$19, ①オッズ入力!$D$2:$D$19, 0)), 0)</f>
        <v>1.0697612695519792E-2</v>
      </c>
      <c r="F133">
        <f>IFERROR(IF(_xlfn.XLOOKUP(C133, ①オッズ入力!$A$2:$A$19, ①オッズ入力!$D$2:$D$19, "")="", 0, _xlfn.XLOOKUP(C133, ①オッズ入力!$A$2:$A$19, ①オッズ入力!$D$2:$D$19, 0)), 0)</f>
        <v>9.1615452315477186E-3</v>
      </c>
      <c r="G133">
        <f t="shared" si="4"/>
        <v>34268.280135254936</v>
      </c>
      <c r="H133">
        <f>IF(G133="", 0, IF(OR(A133=③資金配分!$D$1, A133=③資金配分!$D$2, B133=③資金配分!$D$1, B133=③資金配分!$D$2, C133=③資金配分!$D$1, C133=③資金配分!$D$2), 0, IF(OR(A133=③資金配分!$D$4, A133=③資金配分!$D$5, A133=③資金配分!$D$6, B133=③資金配分!$D$4, B133=③資金配分!$D$5, B133=③資金配分!$D$6, C133=③資金配分!$D$4, C133=③資金配分!$D$5, C133=③資金配分!$D$6), 0, IF(AND(③資金配分!$B$8&gt;0, G133&lt;=③資金配分!$B$8), 1, 0))))</f>
        <v>0</v>
      </c>
      <c r="I133">
        <f t="shared" si="5"/>
        <v>0</v>
      </c>
      <c r="J133">
        <f>IF(I133&gt;0, ROUND((I133 / SUM($I$2:$I$817)) * ③資金配分!$B$7, -2), 0)</f>
        <v>0</v>
      </c>
    </row>
    <row r="134" spans="1:10" x14ac:dyDescent="0.4">
      <c r="A134">
        <v>1</v>
      </c>
      <c r="B134">
        <v>15</v>
      </c>
      <c r="C134">
        <v>18</v>
      </c>
      <c r="D134">
        <f>IFERROR(IF(_xlfn.XLOOKUP(A134, ①オッズ入力!$A$2:$A$19, ①オッズ入力!$D$2:$D$19, "")="", 0, _xlfn.XLOOKUP(A134, ①オッズ入力!$A$2:$A$19, ①オッズ入力!$D$2:$D$19, 0)), 0)</f>
        <v>0.29775022002530088</v>
      </c>
      <c r="E134">
        <f>IFERROR(IF(_xlfn.XLOOKUP(B134, ①オッズ入力!$A$2:$A$19, ①オッズ入力!$D$2:$D$19, "")="", 0, _xlfn.XLOOKUP(B134, ①オッズ入力!$A$2:$A$19, ①オッズ入力!$D$2:$D$19, 0)), 0)</f>
        <v>1.0697612695519792E-2</v>
      </c>
      <c r="F134">
        <f>IFERROR(IF(_xlfn.XLOOKUP(C134, ①オッズ入力!$A$2:$A$19, ①オッズ入力!$D$2:$D$19, "")="", 0, _xlfn.XLOOKUP(C134, ①オッズ入力!$A$2:$A$19, ①オッズ入力!$D$2:$D$19, 0)), 0)</f>
        <v>8.5478532064679671E-3</v>
      </c>
      <c r="G134">
        <f t="shared" si="4"/>
        <v>36728.566914196315</v>
      </c>
      <c r="H134">
        <f>IF(G134="", 0, IF(OR(A134=③資金配分!$D$1, A134=③資金配分!$D$2, B134=③資金配分!$D$1, B134=③資金配分!$D$2, C134=③資金配分!$D$1, C134=③資金配分!$D$2), 0, IF(OR(A134=③資金配分!$D$4, A134=③資金配分!$D$5, A134=③資金配分!$D$6, B134=③資金配分!$D$4, B134=③資金配分!$D$5, B134=③資金配分!$D$6, C134=③資金配分!$D$4, C134=③資金配分!$D$5, C134=③資金配分!$D$6), 0, IF(AND(③資金配分!$B$8&gt;0, G134&lt;=③資金配分!$B$8), 1, 0))))</f>
        <v>0</v>
      </c>
      <c r="I134">
        <f t="shared" si="5"/>
        <v>0</v>
      </c>
      <c r="J134">
        <f>IF(I134&gt;0, ROUND((I134 / SUM($I$2:$I$817)) * ③資金配分!$B$7, -2), 0)</f>
        <v>0</v>
      </c>
    </row>
    <row r="135" spans="1:10" x14ac:dyDescent="0.4">
      <c r="A135">
        <v>1</v>
      </c>
      <c r="B135">
        <v>16</v>
      </c>
      <c r="C135">
        <v>17</v>
      </c>
      <c r="D135">
        <f>IFERROR(IF(_xlfn.XLOOKUP(A135, ①オッズ入力!$A$2:$A$19, ①オッズ入力!$D$2:$D$19, "")="", 0, _xlfn.XLOOKUP(A135, ①オッズ入力!$A$2:$A$19, ①オッズ入力!$D$2:$D$19, 0)), 0)</f>
        <v>0.29775022002530088</v>
      </c>
      <c r="E135">
        <f>IFERROR(IF(_xlfn.XLOOKUP(B135, ①オッズ入力!$A$2:$A$19, ①オッズ入力!$D$2:$D$19, "")="", 0, _xlfn.XLOOKUP(B135, ①オッズ入力!$A$2:$A$19, ①オッズ入力!$D$2:$D$19, 0)), 0)</f>
        <v>9.8701730395127345E-3</v>
      </c>
      <c r="F135">
        <f>IFERROR(IF(_xlfn.XLOOKUP(C135, ①オッズ入力!$A$2:$A$19, ①オッズ入力!$D$2:$D$19, "")="", 0, _xlfn.XLOOKUP(C135, ①オッズ入力!$A$2:$A$19, ①オッズ入力!$D$2:$D$19, 0)), 0)</f>
        <v>9.1615452315477186E-3</v>
      </c>
      <c r="G135">
        <f t="shared" si="4"/>
        <v>37141.070086713436</v>
      </c>
      <c r="H135">
        <f>IF(G135="", 0, IF(OR(A135=③資金配分!$D$1, A135=③資金配分!$D$2, B135=③資金配分!$D$1, B135=③資金配分!$D$2, C135=③資金配分!$D$1, C135=③資金配分!$D$2), 0, IF(OR(A135=③資金配分!$D$4, A135=③資金配分!$D$5, A135=③資金配分!$D$6, B135=③資金配分!$D$4, B135=③資金配分!$D$5, B135=③資金配分!$D$6, C135=③資金配分!$D$4, C135=③資金配分!$D$5, C135=③資金配分!$D$6), 0, IF(AND(③資金配分!$B$8&gt;0, G135&lt;=③資金配分!$B$8), 1, 0))))</f>
        <v>0</v>
      </c>
      <c r="I135">
        <f t="shared" si="5"/>
        <v>0</v>
      </c>
      <c r="J135">
        <f>IF(I135&gt;0, ROUND((I135 / SUM($I$2:$I$817)) * ③資金配分!$B$7, -2), 0)</f>
        <v>0</v>
      </c>
    </row>
    <row r="136" spans="1:10" x14ac:dyDescent="0.4">
      <c r="A136">
        <v>1</v>
      </c>
      <c r="B136">
        <v>16</v>
      </c>
      <c r="C136">
        <v>18</v>
      </c>
      <c r="D136">
        <f>IFERROR(IF(_xlfn.XLOOKUP(A136, ①オッズ入力!$A$2:$A$19, ①オッズ入力!$D$2:$D$19, "")="", 0, _xlfn.XLOOKUP(A136, ①オッズ入力!$A$2:$A$19, ①オッズ入力!$D$2:$D$19, 0)), 0)</f>
        <v>0.29775022002530088</v>
      </c>
      <c r="E136">
        <f>IFERROR(IF(_xlfn.XLOOKUP(B136, ①オッズ入力!$A$2:$A$19, ①オッズ入力!$D$2:$D$19, "")="", 0, _xlfn.XLOOKUP(B136, ①オッズ入力!$A$2:$A$19, ①オッズ入力!$D$2:$D$19, 0)), 0)</f>
        <v>9.8701730395127345E-3</v>
      </c>
      <c r="F136">
        <f>IFERROR(IF(_xlfn.XLOOKUP(C136, ①オッズ入力!$A$2:$A$19, ①オッズ入力!$D$2:$D$19, "")="", 0, _xlfn.XLOOKUP(C136, ①オッズ入力!$A$2:$A$19, ①オッズ入力!$D$2:$D$19, 0)), 0)</f>
        <v>8.5478532064679671E-3</v>
      </c>
      <c r="G136">
        <f t="shared" si="4"/>
        <v>39807.608451913373</v>
      </c>
      <c r="H136">
        <f>IF(G136="", 0, IF(OR(A136=③資金配分!$D$1, A136=③資金配分!$D$2, B136=③資金配分!$D$1, B136=③資金配分!$D$2, C136=③資金配分!$D$1, C136=③資金配分!$D$2), 0, IF(OR(A136=③資金配分!$D$4, A136=③資金配分!$D$5, A136=③資金配分!$D$6, B136=③資金配分!$D$4, B136=③資金配分!$D$5, B136=③資金配分!$D$6, C136=③資金配分!$D$4, C136=③資金配分!$D$5, C136=③資金配分!$D$6), 0, IF(AND(③資金配分!$B$8&gt;0, G136&lt;=③資金配分!$B$8), 1, 0))))</f>
        <v>0</v>
      </c>
      <c r="I136">
        <f t="shared" si="5"/>
        <v>0</v>
      </c>
      <c r="J136">
        <f>IF(I136&gt;0, ROUND((I136 / SUM($I$2:$I$817)) * ③資金配分!$B$7, -2), 0)</f>
        <v>0</v>
      </c>
    </row>
    <row r="137" spans="1:10" x14ac:dyDescent="0.4">
      <c r="A137">
        <v>1</v>
      </c>
      <c r="B137">
        <v>17</v>
      </c>
      <c r="C137">
        <v>18</v>
      </c>
      <c r="D137">
        <f>IFERROR(IF(_xlfn.XLOOKUP(A137, ①オッズ入力!$A$2:$A$19, ①オッズ入力!$D$2:$D$19, "")="", 0, _xlfn.XLOOKUP(A137, ①オッズ入力!$A$2:$A$19, ①オッズ入力!$D$2:$D$19, 0)), 0)</f>
        <v>0.29775022002530088</v>
      </c>
      <c r="E137">
        <f>IFERROR(IF(_xlfn.XLOOKUP(B137, ①オッズ入力!$A$2:$A$19, ①オッズ入力!$D$2:$D$19, "")="", 0, _xlfn.XLOOKUP(B137, ①オッズ入力!$A$2:$A$19, ①オッズ入力!$D$2:$D$19, 0)), 0)</f>
        <v>9.1615452315477186E-3</v>
      </c>
      <c r="F137">
        <f>IFERROR(IF(_xlfn.XLOOKUP(C137, ①オッズ入力!$A$2:$A$19, ①オッズ入力!$D$2:$D$19, "")="", 0, _xlfn.XLOOKUP(C137, ①オッズ入力!$A$2:$A$19, ①オッズ入力!$D$2:$D$19, 0)), 0)</f>
        <v>8.5478532064679671E-3</v>
      </c>
      <c r="G137">
        <f t="shared" si="4"/>
        <v>42886.64998963043</v>
      </c>
      <c r="H137">
        <f>IF(G137="", 0, IF(OR(A137=③資金配分!$D$1, A137=③資金配分!$D$2, B137=③資金配分!$D$1, B137=③資金配分!$D$2, C137=③資金配分!$D$1, C137=③資金配分!$D$2), 0, IF(OR(A137=③資金配分!$D$4, A137=③資金配分!$D$5, A137=③資金配分!$D$6, B137=③資金配分!$D$4, B137=③資金配分!$D$5, B137=③資金配分!$D$6, C137=③資金配分!$D$4, C137=③資金配分!$D$5, C137=③資金配分!$D$6), 0, IF(AND(③資金配分!$B$8&gt;0, G137&lt;=③資金配分!$B$8), 1, 0))))</f>
        <v>0</v>
      </c>
      <c r="I137">
        <f t="shared" si="5"/>
        <v>0</v>
      </c>
      <c r="J137">
        <f>IF(I137&gt;0, ROUND((I137 / SUM($I$2:$I$817)) * ③資金配分!$B$7, -2), 0)</f>
        <v>0</v>
      </c>
    </row>
    <row r="138" spans="1:10" x14ac:dyDescent="0.4">
      <c r="A138">
        <v>2</v>
      </c>
      <c r="B138">
        <v>3</v>
      </c>
      <c r="C138">
        <v>4</v>
      </c>
      <c r="D138">
        <f>IFERROR(IF(_xlfn.XLOOKUP(A138, ①オッズ入力!$A$2:$A$19, ①オッズ入力!$D$2:$D$19, "")="", 0, _xlfn.XLOOKUP(A138, ①オッズ入力!$A$2:$A$19, ①オッズ入力!$D$2:$D$19, 0)), 0)</f>
        <v>0.19850014668353391</v>
      </c>
      <c r="E138">
        <f>IFERROR(IF(_xlfn.XLOOKUP(B138, ①オッズ入力!$A$2:$A$19, ①オッズ入力!$D$2:$D$19, "")="", 0, _xlfn.XLOOKUP(B138, ①オッズ入力!$A$2:$A$19, ①オッズ入力!$D$2:$D$19, 0)), 0)</f>
        <v>0.17014298287160048</v>
      </c>
      <c r="F138">
        <f>IFERROR(IF(_xlfn.XLOOKUP(C138, ①オッズ入力!$A$2:$A$19, ①オッズ入力!$D$2:$D$19, "")="", 0, _xlfn.XLOOKUP(C138, ①オッズ入力!$A$2:$A$19, ①オッズ入力!$D$2:$D$19, 0)), 0)</f>
        <v>7.1460052806072205E-2</v>
      </c>
      <c r="G138">
        <f t="shared" si="4"/>
        <v>414.34470453728341</v>
      </c>
      <c r="H138">
        <f>IF(G138="", 0, IF(OR(A138=③資金配分!$D$1, A138=③資金配分!$D$2, B138=③資金配分!$D$1, B138=③資金配分!$D$2, C138=③資金配分!$D$1, C138=③資金配分!$D$2), 0, IF(OR(A138=③資金配分!$D$4, A138=③資金配分!$D$5, A138=③資金配分!$D$6, B138=③資金配分!$D$4, B138=③資金配分!$D$5, B138=③資金配分!$D$6, C138=③資金配分!$D$4, C138=③資金配分!$D$5, C138=③資金配分!$D$6), 0, IF(AND(③資金配分!$B$8&gt;0, G138&lt;=③資金配分!$B$8), 1, 0))))</f>
        <v>0</v>
      </c>
      <c r="I138">
        <f t="shared" si="5"/>
        <v>0</v>
      </c>
      <c r="J138">
        <f>IF(I138&gt;0, ROUND((I138 / SUM($I$2:$I$817)) * ③資金配分!$B$7, -2), 0)</f>
        <v>0</v>
      </c>
    </row>
    <row r="139" spans="1:10" x14ac:dyDescent="0.4">
      <c r="A139">
        <v>2</v>
      </c>
      <c r="B139">
        <v>3</v>
      </c>
      <c r="C139">
        <v>5</v>
      </c>
      <c r="D139">
        <f>IFERROR(IF(_xlfn.XLOOKUP(A139, ①オッズ入力!$A$2:$A$19, ①オッズ入力!$D$2:$D$19, "")="", 0, _xlfn.XLOOKUP(A139, ①オッズ入力!$A$2:$A$19, ①オッズ入力!$D$2:$D$19, 0)), 0)</f>
        <v>0.19850014668353391</v>
      </c>
      <c r="E139">
        <f>IFERROR(IF(_xlfn.XLOOKUP(B139, ①オッズ入力!$A$2:$A$19, ①オッズ入力!$D$2:$D$19, "")="", 0, _xlfn.XLOOKUP(B139, ①オッズ入力!$A$2:$A$19, ①オッズ入力!$D$2:$D$19, 0)), 0)</f>
        <v>0.17014298287160048</v>
      </c>
      <c r="F139">
        <f>IFERROR(IF(_xlfn.XLOOKUP(C139, ①オッズ入力!$A$2:$A$19, ①オッズ入力!$D$2:$D$19, "")="", 0, _xlfn.XLOOKUP(C139, ①オッズ入力!$A$2:$A$19, ①オッズ入力!$D$2:$D$19, 0)), 0)</f>
        <v>4.4662533003795128E-2</v>
      </c>
      <c r="G139">
        <f t="shared" si="4"/>
        <v>662.9515272596534</v>
      </c>
      <c r="H139">
        <f>IF(G139="", 0, IF(OR(A139=③資金配分!$D$1, A139=③資金配分!$D$2, B139=③資金配分!$D$1, B139=③資金配分!$D$2, C139=③資金配分!$D$1, C139=③資金配分!$D$2), 0, IF(OR(A139=③資金配分!$D$4, A139=③資金配分!$D$5, A139=③資金配分!$D$6, B139=③資金配分!$D$4, B139=③資金配分!$D$5, B139=③資金配分!$D$6, C139=③資金配分!$D$4, C139=③資金配分!$D$5, C139=③資金配分!$D$6), 0, IF(AND(③資金配分!$B$8&gt;0, G139&lt;=③資金配分!$B$8), 1, 0))))</f>
        <v>0</v>
      </c>
      <c r="I139">
        <f t="shared" si="5"/>
        <v>0</v>
      </c>
      <c r="J139">
        <f>IF(I139&gt;0, ROUND((I139 / SUM($I$2:$I$817)) * ③資金配分!$B$7, -2), 0)</f>
        <v>0</v>
      </c>
    </row>
    <row r="140" spans="1:10" x14ac:dyDescent="0.4">
      <c r="A140">
        <v>2</v>
      </c>
      <c r="B140">
        <v>3</v>
      </c>
      <c r="C140">
        <v>6</v>
      </c>
      <c r="D140">
        <f>IFERROR(IF(_xlfn.XLOOKUP(A140, ①オッズ入力!$A$2:$A$19, ①オッズ入力!$D$2:$D$19, "")="", 0, _xlfn.XLOOKUP(A140, ①オッズ入力!$A$2:$A$19, ①オッズ入力!$D$2:$D$19, 0)), 0)</f>
        <v>0.19850014668353391</v>
      </c>
      <c r="E140">
        <f>IFERROR(IF(_xlfn.XLOOKUP(B140, ①オッズ入力!$A$2:$A$19, ①オッズ入力!$D$2:$D$19, "")="", 0, _xlfn.XLOOKUP(B140, ①オッズ入力!$A$2:$A$19, ①オッズ入力!$D$2:$D$19, 0)), 0)</f>
        <v>0.17014298287160048</v>
      </c>
      <c r="F140">
        <f>IFERROR(IF(_xlfn.XLOOKUP(C140, ①オッズ入力!$A$2:$A$19, ①オッズ入力!$D$2:$D$19, "")="", 0, _xlfn.XLOOKUP(C140, ①オッズ入力!$A$2:$A$19, ①オッズ入力!$D$2:$D$19, 0)), 0)</f>
        <v>3.2481842184578273E-2</v>
      </c>
      <c r="G140">
        <f t="shared" si="4"/>
        <v>911.55834998202363</v>
      </c>
      <c r="H140">
        <f>IF(G140="", 0, IF(OR(A140=③資金配分!$D$1, A140=③資金配分!$D$2, B140=③資金配分!$D$1, B140=③資金配分!$D$2, C140=③資金配分!$D$1, C140=③資金配分!$D$2), 0, IF(OR(A140=③資金配分!$D$4, A140=③資金配分!$D$5, A140=③資金配分!$D$6, B140=③資金配分!$D$4, B140=③資金配分!$D$5, B140=③資金配分!$D$6, C140=③資金配分!$D$4, C140=③資金配分!$D$5, C140=③資金配分!$D$6), 0, IF(AND(③資金配分!$B$8&gt;0, G140&lt;=③資金配分!$B$8), 1, 0))))</f>
        <v>0</v>
      </c>
      <c r="I140">
        <f t="shared" si="5"/>
        <v>0</v>
      </c>
      <c r="J140">
        <f>IF(I140&gt;0, ROUND((I140 / SUM($I$2:$I$817)) * ③資金配分!$B$7, -2), 0)</f>
        <v>0</v>
      </c>
    </row>
    <row r="141" spans="1:10" x14ac:dyDescent="0.4">
      <c r="A141">
        <v>2</v>
      </c>
      <c r="B141">
        <v>3</v>
      </c>
      <c r="C141">
        <v>7</v>
      </c>
      <c r="D141">
        <f>IFERROR(IF(_xlfn.XLOOKUP(A141, ①オッズ入力!$A$2:$A$19, ①オッズ入力!$D$2:$D$19, "")="", 0, _xlfn.XLOOKUP(A141, ①オッズ入力!$A$2:$A$19, ①オッズ入力!$D$2:$D$19, 0)), 0)</f>
        <v>0.19850014668353391</v>
      </c>
      <c r="E141">
        <f>IFERROR(IF(_xlfn.XLOOKUP(B141, ①オッズ入力!$A$2:$A$19, ①オッズ入力!$D$2:$D$19, "")="", 0, _xlfn.XLOOKUP(B141, ①オッズ入力!$A$2:$A$19, ①オッズ入力!$D$2:$D$19, 0)), 0)</f>
        <v>0.17014298287160048</v>
      </c>
      <c r="F141">
        <f>IFERROR(IF(_xlfn.XLOOKUP(C141, ①オッズ入力!$A$2:$A$19, ①オッズ入力!$D$2:$D$19, "")="", 0, _xlfn.XLOOKUP(C141, ①オッズ入力!$A$2:$A$19, ①オッズ入力!$D$2:$D$19, 0)), 0)</f>
        <v>2.9775022002530085E-2</v>
      </c>
      <c r="G141">
        <f t="shared" si="4"/>
        <v>994.42729088948022</v>
      </c>
      <c r="H141">
        <f>IF(G141="", 0, IF(OR(A141=③資金配分!$D$1, A141=③資金配分!$D$2, B141=③資金配分!$D$1, B141=③資金配分!$D$2, C141=③資金配分!$D$1, C141=③資金配分!$D$2), 0, IF(OR(A141=③資金配分!$D$4, A141=③資金配分!$D$5, A141=③資金配分!$D$6, B141=③資金配分!$D$4, B141=③資金配分!$D$5, B141=③資金配分!$D$6, C141=③資金配分!$D$4, C141=③資金配分!$D$5, C141=③資金配分!$D$6), 0, IF(AND(③資金配分!$B$8&gt;0, G141&lt;=③資金配分!$B$8), 1, 0))))</f>
        <v>0</v>
      </c>
      <c r="I141">
        <f t="shared" si="5"/>
        <v>0</v>
      </c>
      <c r="J141">
        <f>IF(I141&gt;0, ROUND((I141 / SUM($I$2:$I$817)) * ③資金配分!$B$7, -2), 0)</f>
        <v>0</v>
      </c>
    </row>
    <row r="142" spans="1:10" x14ac:dyDescent="0.4">
      <c r="A142">
        <v>2</v>
      </c>
      <c r="B142">
        <v>3</v>
      </c>
      <c r="C142">
        <v>8</v>
      </c>
      <c r="D142">
        <f>IFERROR(IF(_xlfn.XLOOKUP(A142, ①オッズ入力!$A$2:$A$19, ①オッズ入力!$D$2:$D$19, "")="", 0, _xlfn.XLOOKUP(A142, ①オッズ入力!$A$2:$A$19, ①オッズ入力!$D$2:$D$19, 0)), 0)</f>
        <v>0.19850014668353391</v>
      </c>
      <c r="E142">
        <f>IFERROR(IF(_xlfn.XLOOKUP(B142, ①オッズ入力!$A$2:$A$19, ①オッズ入力!$D$2:$D$19, "")="", 0, _xlfn.XLOOKUP(B142, ①オッズ入力!$A$2:$A$19, ①オッズ入力!$D$2:$D$19, 0)), 0)</f>
        <v>0.17014298287160048</v>
      </c>
      <c r="F142">
        <f>IFERROR(IF(_xlfn.XLOOKUP(C142, ①オッズ入力!$A$2:$A$19, ①オッズ入力!$D$2:$D$19, "")="", 0, _xlfn.XLOOKUP(C142, ①オッズ入力!$A$2:$A$19, ①オッズ入力!$D$2:$D$19, 0)), 0)</f>
        <v>2.3820017602024068E-2</v>
      </c>
      <c r="G142">
        <f t="shared" si="4"/>
        <v>1243.0341136118502</v>
      </c>
      <c r="H142">
        <f>IF(G142="", 0, IF(OR(A142=③資金配分!$D$1, A142=③資金配分!$D$2, B142=③資金配分!$D$1, B142=③資金配分!$D$2, C142=③資金配分!$D$1, C142=③資金配分!$D$2), 0, IF(OR(A142=③資金配分!$D$4, A142=③資金配分!$D$5, A142=③資金配分!$D$6, B142=③資金配分!$D$4, B142=③資金配分!$D$5, B142=③資金配分!$D$6, C142=③資金配分!$D$4, C142=③資金配分!$D$5, C142=③資金配分!$D$6), 0, IF(AND(③資金配分!$B$8&gt;0, G142&lt;=③資金配分!$B$8), 1, 0))))</f>
        <v>0</v>
      </c>
      <c r="I142">
        <f t="shared" si="5"/>
        <v>0</v>
      </c>
      <c r="J142">
        <f>IF(I142&gt;0, ROUND((I142 / SUM($I$2:$I$817)) * ③資金配分!$B$7, -2), 0)</f>
        <v>0</v>
      </c>
    </row>
    <row r="143" spans="1:10" x14ac:dyDescent="0.4">
      <c r="A143">
        <v>2</v>
      </c>
      <c r="B143">
        <v>3</v>
      </c>
      <c r="C143">
        <v>9</v>
      </c>
      <c r="D143">
        <f>IFERROR(IF(_xlfn.XLOOKUP(A143, ①オッズ入力!$A$2:$A$19, ①オッズ入力!$D$2:$D$19, "")="", 0, _xlfn.XLOOKUP(A143, ①オッズ入力!$A$2:$A$19, ①オッズ入力!$D$2:$D$19, 0)), 0)</f>
        <v>0.19850014668353391</v>
      </c>
      <c r="E143">
        <f>IFERROR(IF(_xlfn.XLOOKUP(B143, ①オッズ入力!$A$2:$A$19, ①オッズ入力!$D$2:$D$19, "")="", 0, _xlfn.XLOOKUP(B143, ①オッズ入力!$A$2:$A$19, ①オッズ入力!$D$2:$D$19, 0)), 0)</f>
        <v>0.17014298287160048</v>
      </c>
      <c r="F143">
        <f>IFERROR(IF(_xlfn.XLOOKUP(C143, ①オッズ入力!$A$2:$A$19, ①オッズ入力!$D$2:$D$19, "")="", 0, _xlfn.XLOOKUP(C143, ①オッズ入力!$A$2:$A$19, ①オッズ入力!$D$2:$D$19, 0)), 0)</f>
        <v>1.9850014668353389E-2</v>
      </c>
      <c r="G143">
        <f t="shared" si="4"/>
        <v>1491.6409363342204</v>
      </c>
      <c r="H143">
        <f>IF(G143="", 0, IF(OR(A143=③資金配分!$D$1, A143=③資金配分!$D$2, B143=③資金配分!$D$1, B143=③資金配分!$D$2, C143=③資金配分!$D$1, C143=③資金配分!$D$2), 0, IF(OR(A143=③資金配分!$D$4, A143=③資金配分!$D$5, A143=③資金配分!$D$6, B143=③資金配分!$D$4, B143=③資金配分!$D$5, B143=③資金配分!$D$6, C143=③資金配分!$D$4, C143=③資金配分!$D$5, C143=③資金配分!$D$6), 0, IF(AND(③資金配分!$B$8&gt;0, G143&lt;=③資金配分!$B$8), 1, 0))))</f>
        <v>0</v>
      </c>
      <c r="I143">
        <f t="shared" si="5"/>
        <v>0</v>
      </c>
      <c r="J143">
        <f>IF(I143&gt;0, ROUND((I143 / SUM($I$2:$I$817)) * ③資金配分!$B$7, -2), 0)</f>
        <v>0</v>
      </c>
    </row>
    <row r="144" spans="1:10" x14ac:dyDescent="0.4">
      <c r="A144">
        <v>2</v>
      </c>
      <c r="B144">
        <v>3</v>
      </c>
      <c r="C144">
        <v>10</v>
      </c>
      <c r="D144">
        <f>IFERROR(IF(_xlfn.XLOOKUP(A144, ①オッズ入力!$A$2:$A$19, ①オッズ入力!$D$2:$D$19, "")="", 0, _xlfn.XLOOKUP(A144, ①オッズ入力!$A$2:$A$19, ①オッズ入力!$D$2:$D$19, 0)), 0)</f>
        <v>0.19850014668353391</v>
      </c>
      <c r="E144">
        <f>IFERROR(IF(_xlfn.XLOOKUP(B144, ①オッズ入力!$A$2:$A$19, ①オッズ入力!$D$2:$D$19, "")="", 0, _xlfn.XLOOKUP(B144, ①オッズ入力!$A$2:$A$19, ①オッズ入力!$D$2:$D$19, 0)), 0)</f>
        <v>0.17014298287160048</v>
      </c>
      <c r="F144">
        <f>IFERROR(IF(_xlfn.XLOOKUP(C144, ①オッズ入力!$A$2:$A$19, ①オッズ入力!$D$2:$D$19, "")="", 0, _xlfn.XLOOKUP(C144, ①オッズ入力!$A$2:$A$19, ①オッズ入力!$D$2:$D$19, 0)), 0)</f>
        <v>1.7865013201518051E-2</v>
      </c>
      <c r="G144">
        <f t="shared" si="4"/>
        <v>1657.3788181491336</v>
      </c>
      <c r="H144">
        <f>IF(G144="", 0, IF(OR(A144=③資金配分!$D$1, A144=③資金配分!$D$2, B144=③資金配分!$D$1, B144=③資金配分!$D$2, C144=③資金配分!$D$1, C144=③資金配分!$D$2), 0, IF(OR(A144=③資金配分!$D$4, A144=③資金配分!$D$5, A144=③資金配分!$D$6, B144=③資金配分!$D$4, B144=③資金配分!$D$5, B144=③資金配分!$D$6, C144=③資金配分!$D$4, C144=③資金配分!$D$5, C144=③資金配分!$D$6), 0, IF(AND(③資金配分!$B$8&gt;0, G144&lt;=③資金配分!$B$8), 1, 0))))</f>
        <v>0</v>
      </c>
      <c r="I144">
        <f t="shared" si="5"/>
        <v>0</v>
      </c>
      <c r="J144">
        <f>IF(I144&gt;0, ROUND((I144 / SUM($I$2:$I$817)) * ③資金配分!$B$7, -2), 0)</f>
        <v>0</v>
      </c>
    </row>
    <row r="145" spans="1:10" x14ac:dyDescent="0.4">
      <c r="A145">
        <v>2</v>
      </c>
      <c r="B145">
        <v>3</v>
      </c>
      <c r="C145">
        <v>11</v>
      </c>
      <c r="D145">
        <f>IFERROR(IF(_xlfn.XLOOKUP(A145, ①オッズ入力!$A$2:$A$19, ①オッズ入力!$D$2:$D$19, "")="", 0, _xlfn.XLOOKUP(A145, ①オッズ入力!$A$2:$A$19, ①オッズ入力!$D$2:$D$19, 0)), 0)</f>
        <v>0.19850014668353391</v>
      </c>
      <c r="E145">
        <f>IFERROR(IF(_xlfn.XLOOKUP(B145, ①オッズ入力!$A$2:$A$19, ①オッズ入力!$D$2:$D$19, "")="", 0, _xlfn.XLOOKUP(B145, ①オッズ入力!$A$2:$A$19, ①オッズ入力!$D$2:$D$19, 0)), 0)</f>
        <v>0.17014298287160048</v>
      </c>
      <c r="F145">
        <f>IFERROR(IF(_xlfn.XLOOKUP(C145, ①オッズ入力!$A$2:$A$19, ①オッズ入力!$D$2:$D$19, "")="", 0, _xlfn.XLOOKUP(C145, ①オッズ入力!$A$2:$A$19, ①オッズ入力!$D$2:$D$19, 0)), 0)</f>
        <v>1.6240921092289137E-2</v>
      </c>
      <c r="G145">
        <f t="shared" si="4"/>
        <v>1823.1166999640473</v>
      </c>
      <c r="H145">
        <f>IF(G145="", 0, IF(OR(A145=③資金配分!$D$1, A145=③資金配分!$D$2, B145=③資金配分!$D$1, B145=③資金配分!$D$2, C145=③資金配分!$D$1, C145=③資金配分!$D$2), 0, IF(OR(A145=③資金配分!$D$4, A145=③資金配分!$D$5, A145=③資金配分!$D$6, B145=③資金配分!$D$4, B145=③資金配分!$D$5, B145=③資金配分!$D$6, C145=③資金配分!$D$4, C145=③資金配分!$D$5, C145=③資金配分!$D$6), 0, IF(AND(③資金配分!$B$8&gt;0, G145&lt;=③資金配分!$B$8), 1, 0))))</f>
        <v>0</v>
      </c>
      <c r="I145">
        <f t="shared" si="5"/>
        <v>0</v>
      </c>
      <c r="J145">
        <f>IF(I145&gt;0, ROUND((I145 / SUM($I$2:$I$817)) * ③資金配分!$B$7, -2), 0)</f>
        <v>0</v>
      </c>
    </row>
    <row r="146" spans="1:10" x14ac:dyDescent="0.4">
      <c r="A146">
        <v>2</v>
      </c>
      <c r="B146">
        <v>3</v>
      </c>
      <c r="C146">
        <v>12</v>
      </c>
      <c r="D146">
        <f>IFERROR(IF(_xlfn.XLOOKUP(A146, ①オッズ入力!$A$2:$A$19, ①オッズ入力!$D$2:$D$19, "")="", 0, _xlfn.XLOOKUP(A146, ①オッズ入力!$A$2:$A$19, ①オッズ入力!$D$2:$D$19, 0)), 0)</f>
        <v>0.19850014668353391</v>
      </c>
      <c r="E146">
        <f>IFERROR(IF(_xlfn.XLOOKUP(B146, ①オッズ入力!$A$2:$A$19, ①オッズ入力!$D$2:$D$19, "")="", 0, _xlfn.XLOOKUP(B146, ①オッズ入力!$A$2:$A$19, ①オッズ入力!$D$2:$D$19, 0)), 0)</f>
        <v>0.17014298287160048</v>
      </c>
      <c r="F146">
        <f>IFERROR(IF(_xlfn.XLOOKUP(C146, ①オッズ入力!$A$2:$A$19, ①オッズ入力!$D$2:$D$19, "")="", 0, _xlfn.XLOOKUP(C146, ①オッズ入力!$A$2:$A$19, ①オッズ入力!$D$2:$D$19, 0)), 0)</f>
        <v>1.4887511001265043E-2</v>
      </c>
      <c r="G146">
        <f t="shared" si="4"/>
        <v>1988.8545817789604</v>
      </c>
      <c r="H146">
        <f>IF(G146="", 0, IF(OR(A146=③資金配分!$D$1, A146=③資金配分!$D$2, B146=③資金配分!$D$1, B146=③資金配分!$D$2, C146=③資金配分!$D$1, C146=③資金配分!$D$2), 0, IF(OR(A146=③資金配分!$D$4, A146=③資金配分!$D$5, A146=③資金配分!$D$6, B146=③資金配分!$D$4, B146=③資金配分!$D$5, B146=③資金配分!$D$6, C146=③資金配分!$D$4, C146=③資金配分!$D$5, C146=③資金配分!$D$6), 0, IF(AND(③資金配分!$B$8&gt;0, G146&lt;=③資金配分!$B$8), 1, 0))))</f>
        <v>0</v>
      </c>
      <c r="I146">
        <f t="shared" si="5"/>
        <v>0</v>
      </c>
      <c r="J146">
        <f>IF(I146&gt;0, ROUND((I146 / SUM($I$2:$I$817)) * ③資金配分!$B$7, -2), 0)</f>
        <v>0</v>
      </c>
    </row>
    <row r="147" spans="1:10" x14ac:dyDescent="0.4">
      <c r="A147">
        <v>2</v>
      </c>
      <c r="B147">
        <v>3</v>
      </c>
      <c r="C147">
        <v>13</v>
      </c>
      <c r="D147">
        <f>IFERROR(IF(_xlfn.XLOOKUP(A147, ①オッズ入力!$A$2:$A$19, ①オッズ入力!$D$2:$D$19, "")="", 0, _xlfn.XLOOKUP(A147, ①オッズ入力!$A$2:$A$19, ①オッズ入力!$D$2:$D$19, 0)), 0)</f>
        <v>0.19850014668353391</v>
      </c>
      <c r="E147">
        <f>IFERROR(IF(_xlfn.XLOOKUP(B147, ①オッズ入力!$A$2:$A$19, ①オッズ入力!$D$2:$D$19, "")="", 0, _xlfn.XLOOKUP(B147, ①オッズ入力!$A$2:$A$19, ①オッズ入力!$D$2:$D$19, 0)), 0)</f>
        <v>0.17014298287160048</v>
      </c>
      <c r="F147">
        <f>IFERROR(IF(_xlfn.XLOOKUP(C147, ①オッズ入力!$A$2:$A$19, ①オッズ入力!$D$2:$D$19, "")="", 0, _xlfn.XLOOKUP(C147, ①オッズ入力!$A$2:$A$19, ①オッズ入力!$D$2:$D$19, 0)), 0)</f>
        <v>1.2760723715370036E-2</v>
      </c>
      <c r="G147">
        <f t="shared" si="4"/>
        <v>2320.3303454087873</v>
      </c>
      <c r="H147">
        <f>IF(G147="", 0, IF(OR(A147=③資金配分!$D$1, A147=③資金配分!$D$2, B147=③資金配分!$D$1, B147=③資金配分!$D$2, C147=③資金配分!$D$1, C147=③資金配分!$D$2), 0, IF(OR(A147=③資金配分!$D$4, A147=③資金配分!$D$5, A147=③資金配分!$D$6, B147=③資金配分!$D$4, B147=③資金配分!$D$5, B147=③資金配分!$D$6, C147=③資金配分!$D$4, C147=③資金配分!$D$5, C147=③資金配分!$D$6), 0, IF(AND(③資金配分!$B$8&gt;0, G147&lt;=③資金配分!$B$8), 1, 0))))</f>
        <v>0</v>
      </c>
      <c r="I147">
        <f t="shared" si="5"/>
        <v>0</v>
      </c>
      <c r="J147">
        <f>IF(I147&gt;0, ROUND((I147 / SUM($I$2:$I$817)) * ③資金配分!$B$7, -2), 0)</f>
        <v>0</v>
      </c>
    </row>
    <row r="148" spans="1:10" x14ac:dyDescent="0.4">
      <c r="A148">
        <v>2</v>
      </c>
      <c r="B148">
        <v>3</v>
      </c>
      <c r="C148">
        <v>14</v>
      </c>
      <c r="D148">
        <f>IFERROR(IF(_xlfn.XLOOKUP(A148, ①オッズ入力!$A$2:$A$19, ①オッズ入力!$D$2:$D$19, "")="", 0, _xlfn.XLOOKUP(A148, ①オッズ入力!$A$2:$A$19, ①オッズ入力!$D$2:$D$19, 0)), 0)</f>
        <v>0.19850014668353391</v>
      </c>
      <c r="E148">
        <f>IFERROR(IF(_xlfn.XLOOKUP(B148, ①オッズ入力!$A$2:$A$19, ①オッズ入力!$D$2:$D$19, "")="", 0, _xlfn.XLOOKUP(B148, ①オッズ入力!$A$2:$A$19, ①オッズ入力!$D$2:$D$19, 0)), 0)</f>
        <v>0.17014298287160048</v>
      </c>
      <c r="F148">
        <f>IFERROR(IF(_xlfn.XLOOKUP(C148, ①オッズ入力!$A$2:$A$19, ①オッズ入力!$D$2:$D$19, "")="", 0, _xlfn.XLOOKUP(C148, ①オッズ入力!$A$2:$A$19, ①オッズ入力!$D$2:$D$19, 0)), 0)</f>
        <v>1.1525814968721322E-2</v>
      </c>
      <c r="G148">
        <f t="shared" si="4"/>
        <v>2568.9371681311573</v>
      </c>
      <c r="H148">
        <f>IF(G148="", 0, IF(OR(A148=③資金配分!$D$1, A148=③資金配分!$D$2, B148=③資金配分!$D$1, B148=③資金配分!$D$2, C148=③資金配分!$D$1, C148=③資金配分!$D$2), 0, IF(OR(A148=③資金配分!$D$4, A148=③資金配分!$D$5, A148=③資金配分!$D$6, B148=③資金配分!$D$4, B148=③資金配分!$D$5, B148=③資金配分!$D$6, C148=③資金配分!$D$4, C148=③資金配分!$D$5, C148=③資金配分!$D$6), 0, IF(AND(③資金配分!$B$8&gt;0, G148&lt;=③資金配分!$B$8), 1, 0))))</f>
        <v>0</v>
      </c>
      <c r="I148">
        <f t="shared" si="5"/>
        <v>0</v>
      </c>
      <c r="J148">
        <f>IF(I148&gt;0, ROUND((I148 / SUM($I$2:$I$817)) * ③資金配分!$B$7, -2), 0)</f>
        <v>0</v>
      </c>
    </row>
    <row r="149" spans="1:10" x14ac:dyDescent="0.4">
      <c r="A149">
        <v>2</v>
      </c>
      <c r="B149">
        <v>3</v>
      </c>
      <c r="C149">
        <v>15</v>
      </c>
      <c r="D149">
        <f>IFERROR(IF(_xlfn.XLOOKUP(A149, ①オッズ入力!$A$2:$A$19, ①オッズ入力!$D$2:$D$19, "")="", 0, _xlfn.XLOOKUP(A149, ①オッズ入力!$A$2:$A$19, ①オッズ入力!$D$2:$D$19, 0)), 0)</f>
        <v>0.19850014668353391</v>
      </c>
      <c r="E149">
        <f>IFERROR(IF(_xlfn.XLOOKUP(B149, ①オッズ入力!$A$2:$A$19, ①オッズ入力!$D$2:$D$19, "")="", 0, _xlfn.XLOOKUP(B149, ①オッズ入力!$A$2:$A$19, ①オッズ入力!$D$2:$D$19, 0)), 0)</f>
        <v>0.17014298287160048</v>
      </c>
      <c r="F149">
        <f>IFERROR(IF(_xlfn.XLOOKUP(C149, ①オッズ入力!$A$2:$A$19, ①オッズ入力!$D$2:$D$19, "")="", 0, _xlfn.XLOOKUP(C149, ①オッズ入力!$A$2:$A$19, ①オッズ入力!$D$2:$D$19, 0)), 0)</f>
        <v>1.0697612695519792E-2</v>
      </c>
      <c r="G149">
        <f t="shared" si="4"/>
        <v>2767.8226263090532</v>
      </c>
      <c r="H149">
        <f>IF(G149="", 0, IF(OR(A149=③資金配分!$D$1, A149=③資金配分!$D$2, B149=③資金配分!$D$1, B149=③資金配分!$D$2, C149=③資金配分!$D$1, C149=③資金配分!$D$2), 0, IF(OR(A149=③資金配分!$D$4, A149=③資金配分!$D$5, A149=③資金配分!$D$6, B149=③資金配分!$D$4, B149=③資金配分!$D$5, B149=③資金配分!$D$6, C149=③資金配分!$D$4, C149=③資金配分!$D$5, C149=③資金配分!$D$6), 0, IF(AND(③資金配分!$B$8&gt;0, G149&lt;=③資金配分!$B$8), 1, 0))))</f>
        <v>0</v>
      </c>
      <c r="I149">
        <f t="shared" si="5"/>
        <v>0</v>
      </c>
      <c r="J149">
        <f>IF(I149&gt;0, ROUND((I149 / SUM($I$2:$I$817)) * ③資金配分!$B$7, -2), 0)</f>
        <v>0</v>
      </c>
    </row>
    <row r="150" spans="1:10" x14ac:dyDescent="0.4">
      <c r="A150">
        <v>2</v>
      </c>
      <c r="B150">
        <v>3</v>
      </c>
      <c r="C150">
        <v>16</v>
      </c>
      <c r="D150">
        <f>IFERROR(IF(_xlfn.XLOOKUP(A150, ①オッズ入力!$A$2:$A$19, ①オッズ入力!$D$2:$D$19, "")="", 0, _xlfn.XLOOKUP(A150, ①オッズ入力!$A$2:$A$19, ①オッズ入力!$D$2:$D$19, 0)), 0)</f>
        <v>0.19850014668353391</v>
      </c>
      <c r="E150">
        <f>IFERROR(IF(_xlfn.XLOOKUP(B150, ①オッズ入力!$A$2:$A$19, ①オッズ入力!$D$2:$D$19, "")="", 0, _xlfn.XLOOKUP(B150, ①オッズ入力!$A$2:$A$19, ①オッズ入力!$D$2:$D$19, 0)), 0)</f>
        <v>0.17014298287160048</v>
      </c>
      <c r="F150">
        <f>IFERROR(IF(_xlfn.XLOOKUP(C150, ①オッズ入力!$A$2:$A$19, ①オッズ入力!$D$2:$D$19, "")="", 0, _xlfn.XLOOKUP(C150, ①オッズ入力!$A$2:$A$19, ①オッズ入力!$D$2:$D$19, 0)), 0)</f>
        <v>9.8701730395127345E-3</v>
      </c>
      <c r="G150">
        <f t="shared" si="4"/>
        <v>2999.8556608499316</v>
      </c>
      <c r="H150">
        <f>IF(G150="", 0, IF(OR(A150=③資金配分!$D$1, A150=③資金配分!$D$2, B150=③資金配分!$D$1, B150=③資金配分!$D$2, C150=③資金配分!$D$1, C150=③資金配分!$D$2), 0, IF(OR(A150=③資金配分!$D$4, A150=③資金配分!$D$5, A150=③資金配分!$D$6, B150=③資金配分!$D$4, B150=③資金配分!$D$5, B150=③資金配分!$D$6, C150=③資金配分!$D$4, C150=③資金配分!$D$5, C150=③資金配分!$D$6), 0, IF(AND(③資金配分!$B$8&gt;0, G150&lt;=③資金配分!$B$8), 1, 0))))</f>
        <v>0</v>
      </c>
      <c r="I150">
        <f t="shared" si="5"/>
        <v>0</v>
      </c>
      <c r="J150">
        <f>IF(I150&gt;0, ROUND((I150 / SUM($I$2:$I$817)) * ③資金配分!$B$7, -2), 0)</f>
        <v>0</v>
      </c>
    </row>
    <row r="151" spans="1:10" x14ac:dyDescent="0.4">
      <c r="A151">
        <v>2</v>
      </c>
      <c r="B151">
        <v>3</v>
      </c>
      <c r="C151">
        <v>17</v>
      </c>
      <c r="D151">
        <f>IFERROR(IF(_xlfn.XLOOKUP(A151, ①オッズ入力!$A$2:$A$19, ①オッズ入力!$D$2:$D$19, "")="", 0, _xlfn.XLOOKUP(A151, ①オッズ入力!$A$2:$A$19, ①オッズ入力!$D$2:$D$19, 0)), 0)</f>
        <v>0.19850014668353391</v>
      </c>
      <c r="E151">
        <f>IFERROR(IF(_xlfn.XLOOKUP(B151, ①オッズ入力!$A$2:$A$19, ①オッズ入力!$D$2:$D$19, "")="", 0, _xlfn.XLOOKUP(B151, ①オッズ入力!$A$2:$A$19, ①オッズ入力!$D$2:$D$19, 0)), 0)</f>
        <v>0.17014298287160048</v>
      </c>
      <c r="F151">
        <f>IFERROR(IF(_xlfn.XLOOKUP(C151, ①オッズ入力!$A$2:$A$19, ①オッズ入力!$D$2:$D$19, "")="", 0, _xlfn.XLOOKUP(C151, ①オッズ入力!$A$2:$A$19, ①オッズ入力!$D$2:$D$19, 0)), 0)</f>
        <v>9.1615452315477186E-3</v>
      </c>
      <c r="G151">
        <f t="shared" si="4"/>
        <v>3231.88869539081</v>
      </c>
      <c r="H151">
        <f>IF(G151="", 0, IF(OR(A151=③資金配分!$D$1, A151=③資金配分!$D$2, B151=③資金配分!$D$1, B151=③資金配分!$D$2, C151=③資金配分!$D$1, C151=③資金配分!$D$2), 0, IF(OR(A151=③資金配分!$D$4, A151=③資金配分!$D$5, A151=③資金配分!$D$6, B151=③資金配分!$D$4, B151=③資金配分!$D$5, B151=③資金配分!$D$6, C151=③資金配分!$D$4, C151=③資金配分!$D$5, C151=③資金配分!$D$6), 0, IF(AND(③資金配分!$B$8&gt;0, G151&lt;=③資金配分!$B$8), 1, 0))))</f>
        <v>0</v>
      </c>
      <c r="I151">
        <f t="shared" si="5"/>
        <v>0</v>
      </c>
      <c r="J151">
        <f>IF(I151&gt;0, ROUND((I151 / SUM($I$2:$I$817)) * ③資金配分!$B$7, -2), 0)</f>
        <v>0</v>
      </c>
    </row>
    <row r="152" spans="1:10" x14ac:dyDescent="0.4">
      <c r="A152">
        <v>2</v>
      </c>
      <c r="B152">
        <v>3</v>
      </c>
      <c r="C152">
        <v>18</v>
      </c>
      <c r="D152">
        <f>IFERROR(IF(_xlfn.XLOOKUP(A152, ①オッズ入力!$A$2:$A$19, ①オッズ入力!$D$2:$D$19, "")="", 0, _xlfn.XLOOKUP(A152, ①オッズ入力!$A$2:$A$19, ①オッズ入力!$D$2:$D$19, 0)), 0)</f>
        <v>0.19850014668353391</v>
      </c>
      <c r="E152">
        <f>IFERROR(IF(_xlfn.XLOOKUP(B152, ①オッズ入力!$A$2:$A$19, ①オッズ入力!$D$2:$D$19, "")="", 0, _xlfn.XLOOKUP(B152, ①オッズ入力!$A$2:$A$19, ①オッズ入力!$D$2:$D$19, 0)), 0)</f>
        <v>0.17014298287160048</v>
      </c>
      <c r="F152">
        <f>IFERROR(IF(_xlfn.XLOOKUP(C152, ①オッズ入力!$A$2:$A$19, ①オッズ入力!$D$2:$D$19, "")="", 0, _xlfn.XLOOKUP(C152, ①オッズ入力!$A$2:$A$19, ①オッズ入力!$D$2:$D$19, 0)), 0)</f>
        <v>8.5478532064679671E-3</v>
      </c>
      <c r="G152">
        <f t="shared" si="4"/>
        <v>3463.9217299316888</v>
      </c>
      <c r="H152">
        <f>IF(G152="", 0, IF(OR(A152=③資金配分!$D$1, A152=③資金配分!$D$2, B152=③資金配分!$D$1, B152=③資金配分!$D$2, C152=③資金配分!$D$1, C152=③資金配分!$D$2), 0, IF(OR(A152=③資金配分!$D$4, A152=③資金配分!$D$5, A152=③資金配分!$D$6, B152=③資金配分!$D$4, B152=③資金配分!$D$5, B152=③資金配分!$D$6, C152=③資金配分!$D$4, C152=③資金配分!$D$5, C152=③資金配分!$D$6), 0, IF(AND(③資金配分!$B$8&gt;0, G152&lt;=③資金配分!$B$8), 1, 0))))</f>
        <v>0</v>
      </c>
      <c r="I152">
        <f t="shared" si="5"/>
        <v>0</v>
      </c>
      <c r="J152">
        <f>IF(I152&gt;0, ROUND((I152 / SUM($I$2:$I$817)) * ③資金配分!$B$7, -2), 0)</f>
        <v>0</v>
      </c>
    </row>
    <row r="153" spans="1:10" x14ac:dyDescent="0.4">
      <c r="A153">
        <v>2</v>
      </c>
      <c r="B153">
        <v>4</v>
      </c>
      <c r="C153">
        <v>5</v>
      </c>
      <c r="D153">
        <f>IFERROR(IF(_xlfn.XLOOKUP(A153, ①オッズ入力!$A$2:$A$19, ①オッズ入力!$D$2:$D$19, "")="", 0, _xlfn.XLOOKUP(A153, ①オッズ入力!$A$2:$A$19, ①オッズ入力!$D$2:$D$19, 0)), 0)</f>
        <v>0.19850014668353391</v>
      </c>
      <c r="E153">
        <f>IFERROR(IF(_xlfn.XLOOKUP(B153, ①オッズ入力!$A$2:$A$19, ①オッズ入力!$D$2:$D$19, "")="", 0, _xlfn.XLOOKUP(B153, ①オッズ入力!$A$2:$A$19, ①オッズ入力!$D$2:$D$19, 0)), 0)</f>
        <v>7.1460052806072205E-2</v>
      </c>
      <c r="F153">
        <f>IFERROR(IF(_xlfn.XLOOKUP(C153, ①オッズ入力!$A$2:$A$19, ①オッズ入力!$D$2:$D$19, "")="", 0, _xlfn.XLOOKUP(C153, ①オッズ入力!$A$2:$A$19, ①オッズ入力!$D$2:$D$19, 0)), 0)</f>
        <v>4.4662533003795128E-2</v>
      </c>
      <c r="G153">
        <f t="shared" si="4"/>
        <v>1578.456017284889</v>
      </c>
      <c r="H153">
        <f>IF(G153="", 0, IF(OR(A153=③資金配分!$D$1, A153=③資金配分!$D$2, B153=③資金配分!$D$1, B153=③資金配分!$D$2, C153=③資金配分!$D$1, C153=③資金配分!$D$2), 0, IF(OR(A153=③資金配分!$D$4, A153=③資金配分!$D$5, A153=③資金配分!$D$6, B153=③資金配分!$D$4, B153=③資金配分!$D$5, B153=③資金配分!$D$6, C153=③資金配分!$D$4, C153=③資金配分!$D$5, C153=③資金配分!$D$6), 0, IF(AND(③資金配分!$B$8&gt;0, G153&lt;=③資金配分!$B$8), 1, 0))))</f>
        <v>0</v>
      </c>
      <c r="I153">
        <f t="shared" si="5"/>
        <v>0</v>
      </c>
      <c r="J153">
        <f>IF(I153&gt;0, ROUND((I153 / SUM($I$2:$I$817)) * ③資金配分!$B$7, -2), 0)</f>
        <v>0</v>
      </c>
    </row>
    <row r="154" spans="1:10" x14ac:dyDescent="0.4">
      <c r="A154">
        <v>2</v>
      </c>
      <c r="B154">
        <v>4</v>
      </c>
      <c r="C154">
        <v>6</v>
      </c>
      <c r="D154">
        <f>IFERROR(IF(_xlfn.XLOOKUP(A154, ①オッズ入力!$A$2:$A$19, ①オッズ入力!$D$2:$D$19, "")="", 0, _xlfn.XLOOKUP(A154, ①オッズ入力!$A$2:$A$19, ①オッズ入力!$D$2:$D$19, 0)), 0)</f>
        <v>0.19850014668353391</v>
      </c>
      <c r="E154">
        <f>IFERROR(IF(_xlfn.XLOOKUP(B154, ①オッズ入力!$A$2:$A$19, ①オッズ入力!$D$2:$D$19, "")="", 0, _xlfn.XLOOKUP(B154, ①オッズ入力!$A$2:$A$19, ①オッズ入力!$D$2:$D$19, 0)), 0)</f>
        <v>7.1460052806072205E-2</v>
      </c>
      <c r="F154">
        <f>IFERROR(IF(_xlfn.XLOOKUP(C154, ①オッズ入力!$A$2:$A$19, ①オッズ入力!$D$2:$D$19, "")="", 0, _xlfn.XLOOKUP(C154, ①オッズ入力!$A$2:$A$19, ①オッズ入力!$D$2:$D$19, 0)), 0)</f>
        <v>3.2481842184578273E-2</v>
      </c>
      <c r="G154">
        <f t="shared" si="4"/>
        <v>2170.3770237667222</v>
      </c>
      <c r="H154">
        <f>IF(G154="", 0, IF(OR(A154=③資金配分!$D$1, A154=③資金配分!$D$2, B154=③資金配分!$D$1, B154=③資金配分!$D$2, C154=③資金配分!$D$1, C154=③資金配分!$D$2), 0, IF(OR(A154=③資金配分!$D$4, A154=③資金配分!$D$5, A154=③資金配分!$D$6, B154=③資金配分!$D$4, B154=③資金配分!$D$5, B154=③資金配分!$D$6, C154=③資金配分!$D$4, C154=③資金配分!$D$5, C154=③資金配分!$D$6), 0, IF(AND(③資金配分!$B$8&gt;0, G154&lt;=③資金配分!$B$8), 1, 0))))</f>
        <v>0</v>
      </c>
      <c r="I154">
        <f t="shared" si="5"/>
        <v>0</v>
      </c>
      <c r="J154">
        <f>IF(I154&gt;0, ROUND((I154 / SUM($I$2:$I$817)) * ③資金配分!$B$7, -2), 0)</f>
        <v>0</v>
      </c>
    </row>
    <row r="155" spans="1:10" x14ac:dyDescent="0.4">
      <c r="A155">
        <v>2</v>
      </c>
      <c r="B155">
        <v>4</v>
      </c>
      <c r="C155">
        <v>7</v>
      </c>
      <c r="D155">
        <f>IFERROR(IF(_xlfn.XLOOKUP(A155, ①オッズ入力!$A$2:$A$19, ①オッズ入力!$D$2:$D$19, "")="", 0, _xlfn.XLOOKUP(A155, ①オッズ入力!$A$2:$A$19, ①オッズ入力!$D$2:$D$19, 0)), 0)</f>
        <v>0.19850014668353391</v>
      </c>
      <c r="E155">
        <f>IFERROR(IF(_xlfn.XLOOKUP(B155, ①オッズ入力!$A$2:$A$19, ①オッズ入力!$D$2:$D$19, "")="", 0, _xlfn.XLOOKUP(B155, ①オッズ入力!$A$2:$A$19, ①オッズ入力!$D$2:$D$19, 0)), 0)</f>
        <v>7.1460052806072205E-2</v>
      </c>
      <c r="F155">
        <f>IFERROR(IF(_xlfn.XLOOKUP(C155, ①オッズ入力!$A$2:$A$19, ①オッズ入力!$D$2:$D$19, "")="", 0, _xlfn.XLOOKUP(C155, ①オッズ入力!$A$2:$A$19, ①オッズ入力!$D$2:$D$19, 0)), 0)</f>
        <v>2.9775022002530085E-2</v>
      </c>
      <c r="G155">
        <f t="shared" si="4"/>
        <v>2367.6840259273331</v>
      </c>
      <c r="H155">
        <f>IF(G155="", 0, IF(OR(A155=③資金配分!$D$1, A155=③資金配分!$D$2, B155=③資金配分!$D$1, B155=③資金配分!$D$2, C155=③資金配分!$D$1, C155=③資金配分!$D$2), 0, IF(OR(A155=③資金配分!$D$4, A155=③資金配分!$D$5, A155=③資金配分!$D$6, B155=③資金配分!$D$4, B155=③資金配分!$D$5, B155=③資金配分!$D$6, C155=③資金配分!$D$4, C155=③資金配分!$D$5, C155=③資金配分!$D$6), 0, IF(AND(③資金配分!$B$8&gt;0, G155&lt;=③資金配分!$B$8), 1, 0))))</f>
        <v>0</v>
      </c>
      <c r="I155">
        <f t="shared" si="5"/>
        <v>0</v>
      </c>
      <c r="J155">
        <f>IF(I155&gt;0, ROUND((I155 / SUM($I$2:$I$817)) * ③資金配分!$B$7, -2), 0)</f>
        <v>0</v>
      </c>
    </row>
    <row r="156" spans="1:10" x14ac:dyDescent="0.4">
      <c r="A156">
        <v>2</v>
      </c>
      <c r="B156">
        <v>4</v>
      </c>
      <c r="C156">
        <v>8</v>
      </c>
      <c r="D156">
        <f>IFERROR(IF(_xlfn.XLOOKUP(A156, ①オッズ入力!$A$2:$A$19, ①オッズ入力!$D$2:$D$19, "")="", 0, _xlfn.XLOOKUP(A156, ①オッズ入力!$A$2:$A$19, ①オッズ入力!$D$2:$D$19, 0)), 0)</f>
        <v>0.19850014668353391</v>
      </c>
      <c r="E156">
        <f>IFERROR(IF(_xlfn.XLOOKUP(B156, ①オッズ入力!$A$2:$A$19, ①オッズ入力!$D$2:$D$19, "")="", 0, _xlfn.XLOOKUP(B156, ①オッズ入力!$A$2:$A$19, ①オッズ入力!$D$2:$D$19, 0)), 0)</f>
        <v>7.1460052806072205E-2</v>
      </c>
      <c r="F156">
        <f>IFERROR(IF(_xlfn.XLOOKUP(C156, ①オッズ入力!$A$2:$A$19, ①オッズ入力!$D$2:$D$19, "")="", 0, _xlfn.XLOOKUP(C156, ①オッズ入力!$A$2:$A$19, ①オッズ入力!$D$2:$D$19, 0)), 0)</f>
        <v>2.3820017602024068E-2</v>
      </c>
      <c r="G156">
        <f t="shared" si="4"/>
        <v>2959.6050324091666</v>
      </c>
      <c r="H156">
        <f>IF(G156="", 0, IF(OR(A156=③資金配分!$D$1, A156=③資金配分!$D$2, B156=③資金配分!$D$1, B156=③資金配分!$D$2, C156=③資金配分!$D$1, C156=③資金配分!$D$2), 0, IF(OR(A156=③資金配分!$D$4, A156=③資金配分!$D$5, A156=③資金配分!$D$6, B156=③資金配分!$D$4, B156=③資金配分!$D$5, B156=③資金配分!$D$6, C156=③資金配分!$D$4, C156=③資金配分!$D$5, C156=③資金配分!$D$6), 0, IF(AND(③資金配分!$B$8&gt;0, G156&lt;=③資金配分!$B$8), 1, 0))))</f>
        <v>0</v>
      </c>
      <c r="I156">
        <f t="shared" si="5"/>
        <v>0</v>
      </c>
      <c r="J156">
        <f>IF(I156&gt;0, ROUND((I156 / SUM($I$2:$I$817)) * ③資金配分!$B$7, -2), 0)</f>
        <v>0</v>
      </c>
    </row>
    <row r="157" spans="1:10" x14ac:dyDescent="0.4">
      <c r="A157">
        <v>2</v>
      </c>
      <c r="B157">
        <v>4</v>
      </c>
      <c r="C157">
        <v>9</v>
      </c>
      <c r="D157">
        <f>IFERROR(IF(_xlfn.XLOOKUP(A157, ①オッズ入力!$A$2:$A$19, ①オッズ入力!$D$2:$D$19, "")="", 0, _xlfn.XLOOKUP(A157, ①オッズ入力!$A$2:$A$19, ①オッズ入力!$D$2:$D$19, 0)), 0)</f>
        <v>0.19850014668353391</v>
      </c>
      <c r="E157">
        <f>IFERROR(IF(_xlfn.XLOOKUP(B157, ①オッズ入力!$A$2:$A$19, ①オッズ入力!$D$2:$D$19, "")="", 0, _xlfn.XLOOKUP(B157, ①オッズ入力!$A$2:$A$19, ①オッズ入力!$D$2:$D$19, 0)), 0)</f>
        <v>7.1460052806072205E-2</v>
      </c>
      <c r="F157">
        <f>IFERROR(IF(_xlfn.XLOOKUP(C157, ①オッズ入力!$A$2:$A$19, ①オッズ入力!$D$2:$D$19, "")="", 0, _xlfn.XLOOKUP(C157, ①オッズ入力!$A$2:$A$19, ①オッズ入力!$D$2:$D$19, 0)), 0)</f>
        <v>1.9850014668353389E-2</v>
      </c>
      <c r="G157">
        <f t="shared" si="4"/>
        <v>3551.5260388910001</v>
      </c>
      <c r="H157">
        <f>IF(G157="", 0, IF(OR(A157=③資金配分!$D$1, A157=③資金配分!$D$2, B157=③資金配分!$D$1, B157=③資金配分!$D$2, C157=③資金配分!$D$1, C157=③資金配分!$D$2), 0, IF(OR(A157=③資金配分!$D$4, A157=③資金配分!$D$5, A157=③資金配分!$D$6, B157=③資金配分!$D$4, B157=③資金配分!$D$5, B157=③資金配分!$D$6, C157=③資金配分!$D$4, C157=③資金配分!$D$5, C157=③資金配分!$D$6), 0, IF(AND(③資金配分!$B$8&gt;0, G157&lt;=③資金配分!$B$8), 1, 0))))</f>
        <v>0</v>
      </c>
      <c r="I157">
        <f t="shared" si="5"/>
        <v>0</v>
      </c>
      <c r="J157">
        <f>IF(I157&gt;0, ROUND((I157 / SUM($I$2:$I$817)) * ③資金配分!$B$7, -2), 0)</f>
        <v>0</v>
      </c>
    </row>
    <row r="158" spans="1:10" x14ac:dyDescent="0.4">
      <c r="A158">
        <v>2</v>
      </c>
      <c r="B158">
        <v>4</v>
      </c>
      <c r="C158">
        <v>10</v>
      </c>
      <c r="D158">
        <f>IFERROR(IF(_xlfn.XLOOKUP(A158, ①オッズ入力!$A$2:$A$19, ①オッズ入力!$D$2:$D$19, "")="", 0, _xlfn.XLOOKUP(A158, ①オッズ入力!$A$2:$A$19, ①オッズ入力!$D$2:$D$19, 0)), 0)</f>
        <v>0.19850014668353391</v>
      </c>
      <c r="E158">
        <f>IFERROR(IF(_xlfn.XLOOKUP(B158, ①オッズ入力!$A$2:$A$19, ①オッズ入力!$D$2:$D$19, "")="", 0, _xlfn.XLOOKUP(B158, ①オッズ入力!$A$2:$A$19, ①オッズ入力!$D$2:$D$19, 0)), 0)</f>
        <v>7.1460052806072205E-2</v>
      </c>
      <c r="F158">
        <f>IFERROR(IF(_xlfn.XLOOKUP(C158, ①オッズ入力!$A$2:$A$19, ①オッズ入力!$D$2:$D$19, "")="", 0, _xlfn.XLOOKUP(C158, ①オッズ入力!$A$2:$A$19, ①オッズ入力!$D$2:$D$19, 0)), 0)</f>
        <v>1.7865013201518051E-2</v>
      </c>
      <c r="G158">
        <f t="shared" si="4"/>
        <v>3946.1400432122223</v>
      </c>
      <c r="H158">
        <f>IF(G158="", 0, IF(OR(A158=③資金配分!$D$1, A158=③資金配分!$D$2, B158=③資金配分!$D$1, B158=③資金配分!$D$2, C158=③資金配分!$D$1, C158=③資金配分!$D$2), 0, IF(OR(A158=③資金配分!$D$4, A158=③資金配分!$D$5, A158=③資金配分!$D$6, B158=③資金配分!$D$4, B158=③資金配分!$D$5, B158=③資金配分!$D$6, C158=③資金配分!$D$4, C158=③資金配分!$D$5, C158=③資金配分!$D$6), 0, IF(AND(③資金配分!$B$8&gt;0, G158&lt;=③資金配分!$B$8), 1, 0))))</f>
        <v>0</v>
      </c>
      <c r="I158">
        <f t="shared" si="5"/>
        <v>0</v>
      </c>
      <c r="J158">
        <f>IF(I158&gt;0, ROUND((I158 / SUM($I$2:$I$817)) * ③資金配分!$B$7, -2), 0)</f>
        <v>0</v>
      </c>
    </row>
    <row r="159" spans="1:10" x14ac:dyDescent="0.4">
      <c r="A159">
        <v>2</v>
      </c>
      <c r="B159">
        <v>4</v>
      </c>
      <c r="C159">
        <v>11</v>
      </c>
      <c r="D159">
        <f>IFERROR(IF(_xlfn.XLOOKUP(A159, ①オッズ入力!$A$2:$A$19, ①オッズ入力!$D$2:$D$19, "")="", 0, _xlfn.XLOOKUP(A159, ①オッズ入力!$A$2:$A$19, ①オッズ入力!$D$2:$D$19, 0)), 0)</f>
        <v>0.19850014668353391</v>
      </c>
      <c r="E159">
        <f>IFERROR(IF(_xlfn.XLOOKUP(B159, ①オッズ入力!$A$2:$A$19, ①オッズ入力!$D$2:$D$19, "")="", 0, _xlfn.XLOOKUP(B159, ①オッズ入力!$A$2:$A$19, ①オッズ入力!$D$2:$D$19, 0)), 0)</f>
        <v>7.1460052806072205E-2</v>
      </c>
      <c r="F159">
        <f>IFERROR(IF(_xlfn.XLOOKUP(C159, ①オッズ入力!$A$2:$A$19, ①オッズ入力!$D$2:$D$19, "")="", 0, _xlfn.XLOOKUP(C159, ①オッズ入力!$A$2:$A$19, ①オッズ入力!$D$2:$D$19, 0)), 0)</f>
        <v>1.6240921092289137E-2</v>
      </c>
      <c r="G159">
        <f t="shared" si="4"/>
        <v>4340.7540475334445</v>
      </c>
      <c r="H159">
        <f>IF(G159="", 0, IF(OR(A159=③資金配分!$D$1, A159=③資金配分!$D$2, B159=③資金配分!$D$1, B159=③資金配分!$D$2, C159=③資金配分!$D$1, C159=③資金配分!$D$2), 0, IF(OR(A159=③資金配分!$D$4, A159=③資金配分!$D$5, A159=③資金配分!$D$6, B159=③資金配分!$D$4, B159=③資金配分!$D$5, B159=③資金配分!$D$6, C159=③資金配分!$D$4, C159=③資金配分!$D$5, C159=③資金配分!$D$6), 0, IF(AND(③資金配分!$B$8&gt;0, G159&lt;=③資金配分!$B$8), 1, 0))))</f>
        <v>0</v>
      </c>
      <c r="I159">
        <f t="shared" si="5"/>
        <v>0</v>
      </c>
      <c r="J159">
        <f>IF(I159&gt;0, ROUND((I159 / SUM($I$2:$I$817)) * ③資金配分!$B$7, -2), 0)</f>
        <v>0</v>
      </c>
    </row>
    <row r="160" spans="1:10" x14ac:dyDescent="0.4">
      <c r="A160">
        <v>2</v>
      </c>
      <c r="B160">
        <v>4</v>
      </c>
      <c r="C160">
        <v>12</v>
      </c>
      <c r="D160">
        <f>IFERROR(IF(_xlfn.XLOOKUP(A160, ①オッズ入力!$A$2:$A$19, ①オッズ入力!$D$2:$D$19, "")="", 0, _xlfn.XLOOKUP(A160, ①オッズ入力!$A$2:$A$19, ①オッズ入力!$D$2:$D$19, 0)), 0)</f>
        <v>0.19850014668353391</v>
      </c>
      <c r="E160">
        <f>IFERROR(IF(_xlfn.XLOOKUP(B160, ①オッズ入力!$A$2:$A$19, ①オッズ入力!$D$2:$D$19, "")="", 0, _xlfn.XLOOKUP(B160, ①オッズ入力!$A$2:$A$19, ①オッズ入力!$D$2:$D$19, 0)), 0)</f>
        <v>7.1460052806072205E-2</v>
      </c>
      <c r="F160">
        <f>IFERROR(IF(_xlfn.XLOOKUP(C160, ①オッズ入力!$A$2:$A$19, ①オッズ入力!$D$2:$D$19, "")="", 0, _xlfn.XLOOKUP(C160, ①オッズ入力!$A$2:$A$19, ①オッズ入力!$D$2:$D$19, 0)), 0)</f>
        <v>1.4887511001265043E-2</v>
      </c>
      <c r="G160">
        <f t="shared" si="4"/>
        <v>4735.3680518546662</v>
      </c>
      <c r="H160">
        <f>IF(G160="", 0, IF(OR(A160=③資金配分!$D$1, A160=③資金配分!$D$2, B160=③資金配分!$D$1, B160=③資金配分!$D$2, C160=③資金配分!$D$1, C160=③資金配分!$D$2), 0, IF(OR(A160=③資金配分!$D$4, A160=③資金配分!$D$5, A160=③資金配分!$D$6, B160=③資金配分!$D$4, B160=③資金配分!$D$5, B160=③資金配分!$D$6, C160=③資金配分!$D$4, C160=③資金配分!$D$5, C160=③資金配分!$D$6), 0, IF(AND(③資金配分!$B$8&gt;0, G160&lt;=③資金配分!$B$8), 1, 0))))</f>
        <v>0</v>
      </c>
      <c r="I160">
        <f t="shared" si="5"/>
        <v>0</v>
      </c>
      <c r="J160">
        <f>IF(I160&gt;0, ROUND((I160 / SUM($I$2:$I$817)) * ③資金配分!$B$7, -2), 0)</f>
        <v>0</v>
      </c>
    </row>
    <row r="161" spans="1:10" x14ac:dyDescent="0.4">
      <c r="A161">
        <v>2</v>
      </c>
      <c r="B161">
        <v>4</v>
      </c>
      <c r="C161">
        <v>13</v>
      </c>
      <c r="D161">
        <f>IFERROR(IF(_xlfn.XLOOKUP(A161, ①オッズ入力!$A$2:$A$19, ①オッズ入力!$D$2:$D$19, "")="", 0, _xlfn.XLOOKUP(A161, ①オッズ入力!$A$2:$A$19, ①オッズ入力!$D$2:$D$19, 0)), 0)</f>
        <v>0.19850014668353391</v>
      </c>
      <c r="E161">
        <f>IFERROR(IF(_xlfn.XLOOKUP(B161, ①オッズ入力!$A$2:$A$19, ①オッズ入力!$D$2:$D$19, "")="", 0, _xlfn.XLOOKUP(B161, ①オッズ入力!$A$2:$A$19, ①オッズ入力!$D$2:$D$19, 0)), 0)</f>
        <v>7.1460052806072205E-2</v>
      </c>
      <c r="F161">
        <f>IFERROR(IF(_xlfn.XLOOKUP(C161, ①オッズ入力!$A$2:$A$19, ①オッズ入力!$D$2:$D$19, "")="", 0, _xlfn.XLOOKUP(C161, ①オッズ入力!$A$2:$A$19, ①オッズ入力!$D$2:$D$19, 0)), 0)</f>
        <v>1.2760723715370036E-2</v>
      </c>
      <c r="G161">
        <f t="shared" si="4"/>
        <v>5524.5960604971115</v>
      </c>
      <c r="H161">
        <f>IF(G161="", 0, IF(OR(A161=③資金配分!$D$1, A161=③資金配分!$D$2, B161=③資金配分!$D$1, B161=③資金配分!$D$2, C161=③資金配分!$D$1, C161=③資金配分!$D$2), 0, IF(OR(A161=③資金配分!$D$4, A161=③資金配分!$D$5, A161=③資金配分!$D$6, B161=③資金配分!$D$4, B161=③資金配分!$D$5, B161=③資金配分!$D$6, C161=③資金配分!$D$4, C161=③資金配分!$D$5, C161=③資金配分!$D$6), 0, IF(AND(③資金配分!$B$8&gt;0, G161&lt;=③資金配分!$B$8), 1, 0))))</f>
        <v>0</v>
      </c>
      <c r="I161">
        <f t="shared" si="5"/>
        <v>0</v>
      </c>
      <c r="J161">
        <f>IF(I161&gt;0, ROUND((I161 / SUM($I$2:$I$817)) * ③資金配分!$B$7, -2), 0)</f>
        <v>0</v>
      </c>
    </row>
    <row r="162" spans="1:10" x14ac:dyDescent="0.4">
      <c r="A162">
        <v>2</v>
      </c>
      <c r="B162">
        <v>4</v>
      </c>
      <c r="C162">
        <v>14</v>
      </c>
      <c r="D162">
        <f>IFERROR(IF(_xlfn.XLOOKUP(A162, ①オッズ入力!$A$2:$A$19, ①オッズ入力!$D$2:$D$19, "")="", 0, _xlfn.XLOOKUP(A162, ①オッズ入力!$A$2:$A$19, ①オッズ入力!$D$2:$D$19, 0)), 0)</f>
        <v>0.19850014668353391</v>
      </c>
      <c r="E162">
        <f>IFERROR(IF(_xlfn.XLOOKUP(B162, ①オッズ入力!$A$2:$A$19, ①オッズ入力!$D$2:$D$19, "")="", 0, _xlfn.XLOOKUP(B162, ①オッズ入力!$A$2:$A$19, ①オッズ入力!$D$2:$D$19, 0)), 0)</f>
        <v>7.1460052806072205E-2</v>
      </c>
      <c r="F162">
        <f>IFERROR(IF(_xlfn.XLOOKUP(C162, ①オッズ入力!$A$2:$A$19, ①オッズ入力!$D$2:$D$19, "")="", 0, _xlfn.XLOOKUP(C162, ①オッズ入力!$A$2:$A$19, ①オッズ入力!$D$2:$D$19, 0)), 0)</f>
        <v>1.1525814968721322E-2</v>
      </c>
      <c r="G162">
        <f t="shared" si="4"/>
        <v>6116.5170669789441</v>
      </c>
      <c r="H162">
        <f>IF(G162="", 0, IF(OR(A162=③資金配分!$D$1, A162=③資金配分!$D$2, B162=③資金配分!$D$1, B162=③資金配分!$D$2, C162=③資金配分!$D$1, C162=③資金配分!$D$2), 0, IF(OR(A162=③資金配分!$D$4, A162=③資金配分!$D$5, A162=③資金配分!$D$6, B162=③資金配分!$D$4, B162=③資金配分!$D$5, B162=③資金配分!$D$6, C162=③資金配分!$D$4, C162=③資金配分!$D$5, C162=③資金配分!$D$6), 0, IF(AND(③資金配分!$B$8&gt;0, G162&lt;=③資金配分!$B$8), 1, 0))))</f>
        <v>0</v>
      </c>
      <c r="I162">
        <f t="shared" si="5"/>
        <v>0</v>
      </c>
      <c r="J162">
        <f>IF(I162&gt;0, ROUND((I162 / SUM($I$2:$I$817)) * ③資金配分!$B$7, -2), 0)</f>
        <v>0</v>
      </c>
    </row>
    <row r="163" spans="1:10" x14ac:dyDescent="0.4">
      <c r="A163">
        <v>2</v>
      </c>
      <c r="B163">
        <v>4</v>
      </c>
      <c r="C163">
        <v>15</v>
      </c>
      <c r="D163">
        <f>IFERROR(IF(_xlfn.XLOOKUP(A163, ①オッズ入力!$A$2:$A$19, ①オッズ入力!$D$2:$D$19, "")="", 0, _xlfn.XLOOKUP(A163, ①オッズ入力!$A$2:$A$19, ①オッズ入力!$D$2:$D$19, 0)), 0)</f>
        <v>0.19850014668353391</v>
      </c>
      <c r="E163">
        <f>IFERROR(IF(_xlfn.XLOOKUP(B163, ①オッズ入力!$A$2:$A$19, ①オッズ入力!$D$2:$D$19, "")="", 0, _xlfn.XLOOKUP(B163, ①オッズ入力!$A$2:$A$19, ①オッズ入力!$D$2:$D$19, 0)), 0)</f>
        <v>7.1460052806072205E-2</v>
      </c>
      <c r="F163">
        <f>IFERROR(IF(_xlfn.XLOOKUP(C163, ①オッズ入力!$A$2:$A$19, ①オッズ入力!$D$2:$D$19, "")="", 0, _xlfn.XLOOKUP(C163, ①オッズ入力!$A$2:$A$19, ①オッズ入力!$D$2:$D$19, 0)), 0)</f>
        <v>1.0697612695519792E-2</v>
      </c>
      <c r="G163">
        <f t="shared" si="4"/>
        <v>6590.0538721644116</v>
      </c>
      <c r="H163">
        <f>IF(G163="", 0, IF(OR(A163=③資金配分!$D$1, A163=③資金配分!$D$2, B163=③資金配分!$D$1, B163=③資金配分!$D$2, C163=③資金配分!$D$1, C163=③資金配分!$D$2), 0, IF(OR(A163=③資金配分!$D$4, A163=③資金配分!$D$5, A163=③資金配分!$D$6, B163=③資金配分!$D$4, B163=③資金配分!$D$5, B163=③資金配分!$D$6, C163=③資金配分!$D$4, C163=③資金配分!$D$5, C163=③資金配分!$D$6), 0, IF(AND(③資金配分!$B$8&gt;0, G163&lt;=③資金配分!$B$8), 1, 0))))</f>
        <v>0</v>
      </c>
      <c r="I163">
        <f t="shared" si="5"/>
        <v>0</v>
      </c>
      <c r="J163">
        <f>IF(I163&gt;0, ROUND((I163 / SUM($I$2:$I$817)) * ③資金配分!$B$7, -2), 0)</f>
        <v>0</v>
      </c>
    </row>
    <row r="164" spans="1:10" x14ac:dyDescent="0.4">
      <c r="A164">
        <v>2</v>
      </c>
      <c r="B164">
        <v>4</v>
      </c>
      <c r="C164">
        <v>16</v>
      </c>
      <c r="D164">
        <f>IFERROR(IF(_xlfn.XLOOKUP(A164, ①オッズ入力!$A$2:$A$19, ①オッズ入力!$D$2:$D$19, "")="", 0, _xlfn.XLOOKUP(A164, ①オッズ入力!$A$2:$A$19, ①オッズ入力!$D$2:$D$19, 0)), 0)</f>
        <v>0.19850014668353391</v>
      </c>
      <c r="E164">
        <f>IFERROR(IF(_xlfn.XLOOKUP(B164, ①オッズ入力!$A$2:$A$19, ①オッズ入力!$D$2:$D$19, "")="", 0, _xlfn.XLOOKUP(B164, ①オッズ入力!$A$2:$A$19, ①オッズ入力!$D$2:$D$19, 0)), 0)</f>
        <v>7.1460052806072205E-2</v>
      </c>
      <c r="F164">
        <f>IFERROR(IF(_xlfn.XLOOKUP(C164, ①オッズ入力!$A$2:$A$19, ①オッズ入力!$D$2:$D$19, "")="", 0, _xlfn.XLOOKUP(C164, ①オッズ入力!$A$2:$A$19, ①オッズ入力!$D$2:$D$19, 0)), 0)</f>
        <v>9.8701730395127345E-3</v>
      </c>
      <c r="G164">
        <f t="shared" si="4"/>
        <v>7142.5134782141231</v>
      </c>
      <c r="H164">
        <f>IF(G164="", 0, IF(OR(A164=③資金配分!$D$1, A164=③資金配分!$D$2, B164=③資金配分!$D$1, B164=③資金配分!$D$2, C164=③資金配分!$D$1, C164=③資金配分!$D$2), 0, IF(OR(A164=③資金配分!$D$4, A164=③資金配分!$D$5, A164=③資金配分!$D$6, B164=③資金配分!$D$4, B164=③資金配分!$D$5, B164=③資金配分!$D$6, C164=③資金配分!$D$4, C164=③資金配分!$D$5, C164=③資金配分!$D$6), 0, IF(AND(③資金配分!$B$8&gt;0, G164&lt;=③資金配分!$B$8), 1, 0))))</f>
        <v>0</v>
      </c>
      <c r="I164">
        <f t="shared" si="5"/>
        <v>0</v>
      </c>
      <c r="J164">
        <f>IF(I164&gt;0, ROUND((I164 / SUM($I$2:$I$817)) * ③資金配分!$B$7, -2), 0)</f>
        <v>0</v>
      </c>
    </row>
    <row r="165" spans="1:10" x14ac:dyDescent="0.4">
      <c r="A165">
        <v>2</v>
      </c>
      <c r="B165">
        <v>4</v>
      </c>
      <c r="C165">
        <v>17</v>
      </c>
      <c r="D165">
        <f>IFERROR(IF(_xlfn.XLOOKUP(A165, ①オッズ入力!$A$2:$A$19, ①オッズ入力!$D$2:$D$19, "")="", 0, _xlfn.XLOOKUP(A165, ①オッズ入力!$A$2:$A$19, ①オッズ入力!$D$2:$D$19, 0)), 0)</f>
        <v>0.19850014668353391</v>
      </c>
      <c r="E165">
        <f>IFERROR(IF(_xlfn.XLOOKUP(B165, ①オッズ入力!$A$2:$A$19, ①オッズ入力!$D$2:$D$19, "")="", 0, _xlfn.XLOOKUP(B165, ①オッズ入力!$A$2:$A$19, ①オッズ入力!$D$2:$D$19, 0)), 0)</f>
        <v>7.1460052806072205E-2</v>
      </c>
      <c r="F165">
        <f>IFERROR(IF(_xlfn.XLOOKUP(C165, ①オッズ入力!$A$2:$A$19, ①オッズ入力!$D$2:$D$19, "")="", 0, _xlfn.XLOOKUP(C165, ①オッズ入力!$A$2:$A$19, ①オッズ入力!$D$2:$D$19, 0)), 0)</f>
        <v>9.1615452315477186E-3</v>
      </c>
      <c r="G165">
        <f t="shared" si="4"/>
        <v>7694.9730842638337</v>
      </c>
      <c r="H165">
        <f>IF(G165="", 0, IF(OR(A165=③資金配分!$D$1, A165=③資金配分!$D$2, B165=③資金配分!$D$1, B165=③資金配分!$D$2, C165=③資金配分!$D$1, C165=③資金配分!$D$2), 0, IF(OR(A165=③資金配分!$D$4, A165=③資金配分!$D$5, A165=③資金配分!$D$6, B165=③資金配分!$D$4, B165=③資金配分!$D$5, B165=③資金配分!$D$6, C165=③資金配分!$D$4, C165=③資金配分!$D$5, C165=③資金配分!$D$6), 0, IF(AND(③資金配分!$B$8&gt;0, G165&lt;=③資金配分!$B$8), 1, 0))))</f>
        <v>0</v>
      </c>
      <c r="I165">
        <f t="shared" si="5"/>
        <v>0</v>
      </c>
      <c r="J165">
        <f>IF(I165&gt;0, ROUND((I165 / SUM($I$2:$I$817)) * ③資金配分!$B$7, -2), 0)</f>
        <v>0</v>
      </c>
    </row>
    <row r="166" spans="1:10" x14ac:dyDescent="0.4">
      <c r="A166">
        <v>2</v>
      </c>
      <c r="B166">
        <v>4</v>
      </c>
      <c r="C166">
        <v>18</v>
      </c>
      <c r="D166">
        <f>IFERROR(IF(_xlfn.XLOOKUP(A166, ①オッズ入力!$A$2:$A$19, ①オッズ入力!$D$2:$D$19, "")="", 0, _xlfn.XLOOKUP(A166, ①オッズ入力!$A$2:$A$19, ①オッズ入力!$D$2:$D$19, 0)), 0)</f>
        <v>0.19850014668353391</v>
      </c>
      <c r="E166">
        <f>IFERROR(IF(_xlfn.XLOOKUP(B166, ①オッズ入力!$A$2:$A$19, ①オッズ入力!$D$2:$D$19, "")="", 0, _xlfn.XLOOKUP(B166, ①オッズ入力!$A$2:$A$19, ①オッズ入力!$D$2:$D$19, 0)), 0)</f>
        <v>7.1460052806072205E-2</v>
      </c>
      <c r="F166">
        <f>IFERROR(IF(_xlfn.XLOOKUP(C166, ①オッズ入力!$A$2:$A$19, ①オッズ入力!$D$2:$D$19, "")="", 0, _xlfn.XLOOKUP(C166, ①オッズ入力!$A$2:$A$19, ①オッズ入力!$D$2:$D$19, 0)), 0)</f>
        <v>8.5478532064679671E-3</v>
      </c>
      <c r="G166">
        <f t="shared" si="4"/>
        <v>8247.4326903135443</v>
      </c>
      <c r="H166">
        <f>IF(G166="", 0, IF(OR(A166=③資金配分!$D$1, A166=③資金配分!$D$2, B166=③資金配分!$D$1, B166=③資金配分!$D$2, C166=③資金配分!$D$1, C166=③資金配分!$D$2), 0, IF(OR(A166=③資金配分!$D$4, A166=③資金配分!$D$5, A166=③資金配分!$D$6, B166=③資金配分!$D$4, B166=③資金配分!$D$5, B166=③資金配分!$D$6, C166=③資金配分!$D$4, C166=③資金配分!$D$5, C166=③資金配分!$D$6), 0, IF(AND(③資金配分!$B$8&gt;0, G166&lt;=③資金配分!$B$8), 1, 0))))</f>
        <v>0</v>
      </c>
      <c r="I166">
        <f t="shared" si="5"/>
        <v>0</v>
      </c>
      <c r="J166">
        <f>IF(I166&gt;0, ROUND((I166 / SUM($I$2:$I$817)) * ③資金配分!$B$7, -2), 0)</f>
        <v>0</v>
      </c>
    </row>
    <row r="167" spans="1:10" x14ac:dyDescent="0.4">
      <c r="A167">
        <v>2</v>
      </c>
      <c r="B167">
        <v>5</v>
      </c>
      <c r="C167">
        <v>6</v>
      </c>
      <c r="D167">
        <f>IFERROR(IF(_xlfn.XLOOKUP(A167, ①オッズ入力!$A$2:$A$19, ①オッズ入力!$D$2:$D$19, "")="", 0, _xlfn.XLOOKUP(A167, ①オッズ入力!$A$2:$A$19, ①オッズ入力!$D$2:$D$19, 0)), 0)</f>
        <v>0.19850014668353391</v>
      </c>
      <c r="E167">
        <f>IFERROR(IF(_xlfn.XLOOKUP(B167, ①オッズ入力!$A$2:$A$19, ①オッズ入力!$D$2:$D$19, "")="", 0, _xlfn.XLOOKUP(B167, ①オッズ入力!$A$2:$A$19, ①オッズ入力!$D$2:$D$19, 0)), 0)</f>
        <v>4.4662533003795128E-2</v>
      </c>
      <c r="F167">
        <f>IFERROR(IF(_xlfn.XLOOKUP(C167, ①オッズ入力!$A$2:$A$19, ①オッズ入力!$D$2:$D$19, "")="", 0, _xlfn.XLOOKUP(C167, ①オッズ入力!$A$2:$A$19, ①オッズ入力!$D$2:$D$19, 0)), 0)</f>
        <v>3.2481842184578273E-2</v>
      </c>
      <c r="G167">
        <f t="shared" si="4"/>
        <v>3472.6032380267561</v>
      </c>
      <c r="H167">
        <f>IF(G167="", 0, IF(OR(A167=③資金配分!$D$1, A167=③資金配分!$D$2, B167=③資金配分!$D$1, B167=③資金配分!$D$2, C167=③資金配分!$D$1, C167=③資金配分!$D$2), 0, IF(OR(A167=③資金配分!$D$4, A167=③資金配分!$D$5, A167=③資金配分!$D$6, B167=③資金配分!$D$4, B167=③資金配分!$D$5, B167=③資金配分!$D$6, C167=③資金配分!$D$4, C167=③資金配分!$D$5, C167=③資金配分!$D$6), 0, IF(AND(③資金配分!$B$8&gt;0, G167&lt;=③資金配分!$B$8), 1, 0))))</f>
        <v>0</v>
      </c>
      <c r="I167">
        <f t="shared" si="5"/>
        <v>0</v>
      </c>
      <c r="J167">
        <f>IF(I167&gt;0, ROUND((I167 / SUM($I$2:$I$817)) * ③資金配分!$B$7, -2), 0)</f>
        <v>0</v>
      </c>
    </row>
    <row r="168" spans="1:10" x14ac:dyDescent="0.4">
      <c r="A168">
        <v>2</v>
      </c>
      <c r="B168">
        <v>5</v>
      </c>
      <c r="C168">
        <v>7</v>
      </c>
      <c r="D168">
        <f>IFERROR(IF(_xlfn.XLOOKUP(A168, ①オッズ入力!$A$2:$A$19, ①オッズ入力!$D$2:$D$19, "")="", 0, _xlfn.XLOOKUP(A168, ①オッズ入力!$A$2:$A$19, ①オッズ入力!$D$2:$D$19, 0)), 0)</f>
        <v>0.19850014668353391</v>
      </c>
      <c r="E168">
        <f>IFERROR(IF(_xlfn.XLOOKUP(B168, ①オッズ入力!$A$2:$A$19, ①オッズ入力!$D$2:$D$19, "")="", 0, _xlfn.XLOOKUP(B168, ①オッズ入力!$A$2:$A$19, ①オッズ入力!$D$2:$D$19, 0)), 0)</f>
        <v>4.4662533003795128E-2</v>
      </c>
      <c r="F168">
        <f>IFERROR(IF(_xlfn.XLOOKUP(C168, ①オッズ入力!$A$2:$A$19, ①オッズ入力!$D$2:$D$19, "")="", 0, _xlfn.XLOOKUP(C168, ①オッズ入力!$A$2:$A$19, ①オッズ入力!$D$2:$D$19, 0)), 0)</f>
        <v>2.9775022002530085E-2</v>
      </c>
      <c r="G168">
        <f t="shared" si="4"/>
        <v>3788.2944414837334</v>
      </c>
      <c r="H168">
        <f>IF(G168="", 0, IF(OR(A168=③資金配分!$D$1, A168=③資金配分!$D$2, B168=③資金配分!$D$1, B168=③資金配分!$D$2, C168=③資金配分!$D$1, C168=③資金配分!$D$2), 0, IF(OR(A168=③資金配分!$D$4, A168=③資金配分!$D$5, A168=③資金配分!$D$6, B168=③資金配分!$D$4, B168=③資金配分!$D$5, B168=③資金配分!$D$6, C168=③資金配分!$D$4, C168=③資金配分!$D$5, C168=③資金配分!$D$6), 0, IF(AND(③資金配分!$B$8&gt;0, G168&lt;=③資金配分!$B$8), 1, 0))))</f>
        <v>0</v>
      </c>
      <c r="I168">
        <f t="shared" si="5"/>
        <v>0</v>
      </c>
      <c r="J168">
        <f>IF(I168&gt;0, ROUND((I168 / SUM($I$2:$I$817)) * ③資金配分!$B$7, -2), 0)</f>
        <v>0</v>
      </c>
    </row>
    <row r="169" spans="1:10" x14ac:dyDescent="0.4">
      <c r="A169">
        <v>2</v>
      </c>
      <c r="B169">
        <v>5</v>
      </c>
      <c r="C169">
        <v>8</v>
      </c>
      <c r="D169">
        <f>IFERROR(IF(_xlfn.XLOOKUP(A169, ①オッズ入力!$A$2:$A$19, ①オッズ入力!$D$2:$D$19, "")="", 0, _xlfn.XLOOKUP(A169, ①オッズ入力!$A$2:$A$19, ①オッズ入力!$D$2:$D$19, 0)), 0)</f>
        <v>0.19850014668353391</v>
      </c>
      <c r="E169">
        <f>IFERROR(IF(_xlfn.XLOOKUP(B169, ①オッズ入力!$A$2:$A$19, ①オッズ入力!$D$2:$D$19, "")="", 0, _xlfn.XLOOKUP(B169, ①オッズ入力!$A$2:$A$19, ①オッズ入力!$D$2:$D$19, 0)), 0)</f>
        <v>4.4662533003795128E-2</v>
      </c>
      <c r="F169">
        <f>IFERROR(IF(_xlfn.XLOOKUP(C169, ①オッズ入力!$A$2:$A$19, ①オッズ入力!$D$2:$D$19, "")="", 0, _xlfn.XLOOKUP(C169, ①オッズ入力!$A$2:$A$19, ①オッズ入力!$D$2:$D$19, 0)), 0)</f>
        <v>2.3820017602024068E-2</v>
      </c>
      <c r="G169">
        <f t="shared" si="4"/>
        <v>4735.3680518546671</v>
      </c>
      <c r="H169">
        <f>IF(G169="", 0, IF(OR(A169=③資金配分!$D$1, A169=③資金配分!$D$2, B169=③資金配分!$D$1, B169=③資金配分!$D$2, C169=③資金配分!$D$1, C169=③資金配分!$D$2), 0, IF(OR(A169=③資金配分!$D$4, A169=③資金配分!$D$5, A169=③資金配分!$D$6, B169=③資金配分!$D$4, B169=③資金配分!$D$5, B169=③資金配分!$D$6, C169=③資金配分!$D$4, C169=③資金配分!$D$5, C169=③資金配分!$D$6), 0, IF(AND(③資金配分!$B$8&gt;0, G169&lt;=③資金配分!$B$8), 1, 0))))</f>
        <v>0</v>
      </c>
      <c r="I169">
        <f t="shared" si="5"/>
        <v>0</v>
      </c>
      <c r="J169">
        <f>IF(I169&gt;0, ROUND((I169 / SUM($I$2:$I$817)) * ③資金配分!$B$7, -2), 0)</f>
        <v>0</v>
      </c>
    </row>
    <row r="170" spans="1:10" x14ac:dyDescent="0.4">
      <c r="A170">
        <v>2</v>
      </c>
      <c r="B170">
        <v>5</v>
      </c>
      <c r="C170">
        <v>9</v>
      </c>
      <c r="D170">
        <f>IFERROR(IF(_xlfn.XLOOKUP(A170, ①オッズ入力!$A$2:$A$19, ①オッズ入力!$D$2:$D$19, "")="", 0, _xlfn.XLOOKUP(A170, ①オッズ入力!$A$2:$A$19, ①オッズ入力!$D$2:$D$19, 0)), 0)</f>
        <v>0.19850014668353391</v>
      </c>
      <c r="E170">
        <f>IFERROR(IF(_xlfn.XLOOKUP(B170, ①オッズ入力!$A$2:$A$19, ①オッズ入力!$D$2:$D$19, "")="", 0, _xlfn.XLOOKUP(B170, ①オッズ入力!$A$2:$A$19, ①オッズ入力!$D$2:$D$19, 0)), 0)</f>
        <v>4.4662533003795128E-2</v>
      </c>
      <c r="F170">
        <f>IFERROR(IF(_xlfn.XLOOKUP(C170, ①オッズ入力!$A$2:$A$19, ①オッズ入力!$D$2:$D$19, "")="", 0, _xlfn.XLOOKUP(C170, ①オッズ入力!$A$2:$A$19, ①オッズ入力!$D$2:$D$19, 0)), 0)</f>
        <v>1.9850014668353389E-2</v>
      </c>
      <c r="G170">
        <f t="shared" si="4"/>
        <v>5682.4416622256012</v>
      </c>
      <c r="H170">
        <f>IF(G170="", 0, IF(OR(A170=③資金配分!$D$1, A170=③資金配分!$D$2, B170=③資金配分!$D$1, B170=③資金配分!$D$2, C170=③資金配分!$D$1, C170=③資金配分!$D$2), 0, IF(OR(A170=③資金配分!$D$4, A170=③資金配分!$D$5, A170=③資金配分!$D$6, B170=③資金配分!$D$4, B170=③資金配分!$D$5, B170=③資金配分!$D$6, C170=③資金配分!$D$4, C170=③資金配分!$D$5, C170=③資金配分!$D$6), 0, IF(AND(③資金配分!$B$8&gt;0, G170&lt;=③資金配分!$B$8), 1, 0))))</f>
        <v>0</v>
      </c>
      <c r="I170">
        <f t="shared" si="5"/>
        <v>0</v>
      </c>
      <c r="J170">
        <f>IF(I170&gt;0, ROUND((I170 / SUM($I$2:$I$817)) * ③資金配分!$B$7, -2), 0)</f>
        <v>0</v>
      </c>
    </row>
    <row r="171" spans="1:10" x14ac:dyDescent="0.4">
      <c r="A171">
        <v>2</v>
      </c>
      <c r="B171">
        <v>5</v>
      </c>
      <c r="C171">
        <v>10</v>
      </c>
      <c r="D171">
        <f>IFERROR(IF(_xlfn.XLOOKUP(A171, ①オッズ入力!$A$2:$A$19, ①オッズ入力!$D$2:$D$19, "")="", 0, _xlfn.XLOOKUP(A171, ①オッズ入力!$A$2:$A$19, ①オッズ入力!$D$2:$D$19, 0)), 0)</f>
        <v>0.19850014668353391</v>
      </c>
      <c r="E171">
        <f>IFERROR(IF(_xlfn.XLOOKUP(B171, ①オッズ入力!$A$2:$A$19, ①オッズ入力!$D$2:$D$19, "")="", 0, _xlfn.XLOOKUP(B171, ①オッズ入力!$A$2:$A$19, ①オッズ入力!$D$2:$D$19, 0)), 0)</f>
        <v>4.4662533003795128E-2</v>
      </c>
      <c r="F171">
        <f>IFERROR(IF(_xlfn.XLOOKUP(C171, ①オッズ入力!$A$2:$A$19, ①オッズ入力!$D$2:$D$19, "")="", 0, _xlfn.XLOOKUP(C171, ①オッズ入力!$A$2:$A$19, ①オッズ入力!$D$2:$D$19, 0)), 0)</f>
        <v>1.7865013201518051E-2</v>
      </c>
      <c r="G171">
        <f t="shared" si="4"/>
        <v>6313.8240691395567</v>
      </c>
      <c r="H171">
        <f>IF(G171="", 0, IF(OR(A171=③資金配分!$D$1, A171=③資金配分!$D$2, B171=③資金配分!$D$1, B171=③資金配分!$D$2, C171=③資金配分!$D$1, C171=③資金配分!$D$2), 0, IF(OR(A171=③資金配分!$D$4, A171=③資金配分!$D$5, A171=③資金配分!$D$6, B171=③資金配分!$D$4, B171=③資金配分!$D$5, B171=③資金配分!$D$6, C171=③資金配分!$D$4, C171=③資金配分!$D$5, C171=③資金配分!$D$6), 0, IF(AND(③資金配分!$B$8&gt;0, G171&lt;=③資金配分!$B$8), 1, 0))))</f>
        <v>0</v>
      </c>
      <c r="I171">
        <f t="shared" si="5"/>
        <v>0</v>
      </c>
      <c r="J171">
        <f>IF(I171&gt;0, ROUND((I171 / SUM($I$2:$I$817)) * ③資金配分!$B$7, -2), 0)</f>
        <v>0</v>
      </c>
    </row>
    <row r="172" spans="1:10" x14ac:dyDescent="0.4">
      <c r="A172">
        <v>2</v>
      </c>
      <c r="B172">
        <v>5</v>
      </c>
      <c r="C172">
        <v>11</v>
      </c>
      <c r="D172">
        <f>IFERROR(IF(_xlfn.XLOOKUP(A172, ①オッズ入力!$A$2:$A$19, ①オッズ入力!$D$2:$D$19, "")="", 0, _xlfn.XLOOKUP(A172, ①オッズ入力!$A$2:$A$19, ①オッズ入力!$D$2:$D$19, 0)), 0)</f>
        <v>0.19850014668353391</v>
      </c>
      <c r="E172">
        <f>IFERROR(IF(_xlfn.XLOOKUP(B172, ①オッズ入力!$A$2:$A$19, ①オッズ入力!$D$2:$D$19, "")="", 0, _xlfn.XLOOKUP(B172, ①オッズ入力!$A$2:$A$19, ①オッズ入力!$D$2:$D$19, 0)), 0)</f>
        <v>4.4662533003795128E-2</v>
      </c>
      <c r="F172">
        <f>IFERROR(IF(_xlfn.XLOOKUP(C172, ①オッズ入力!$A$2:$A$19, ①オッズ入力!$D$2:$D$19, "")="", 0, _xlfn.XLOOKUP(C172, ①オッズ入力!$A$2:$A$19, ①オッズ入力!$D$2:$D$19, 0)), 0)</f>
        <v>1.6240921092289137E-2</v>
      </c>
      <c r="G172">
        <f t="shared" si="4"/>
        <v>6945.2064760535122</v>
      </c>
      <c r="H172">
        <f>IF(G172="", 0, IF(OR(A172=③資金配分!$D$1, A172=③資金配分!$D$2, B172=③資金配分!$D$1, B172=③資金配分!$D$2, C172=③資金配分!$D$1, C172=③資金配分!$D$2), 0, IF(OR(A172=③資金配分!$D$4, A172=③資金配分!$D$5, A172=③資金配分!$D$6, B172=③資金配分!$D$4, B172=③資金配分!$D$5, B172=③資金配分!$D$6, C172=③資金配分!$D$4, C172=③資金配分!$D$5, C172=③資金配分!$D$6), 0, IF(AND(③資金配分!$B$8&gt;0, G172&lt;=③資金配分!$B$8), 1, 0))))</f>
        <v>0</v>
      </c>
      <c r="I172">
        <f t="shared" si="5"/>
        <v>0</v>
      </c>
      <c r="J172">
        <f>IF(I172&gt;0, ROUND((I172 / SUM($I$2:$I$817)) * ③資金配分!$B$7, -2), 0)</f>
        <v>0</v>
      </c>
    </row>
    <row r="173" spans="1:10" x14ac:dyDescent="0.4">
      <c r="A173">
        <v>2</v>
      </c>
      <c r="B173">
        <v>5</v>
      </c>
      <c r="C173">
        <v>12</v>
      </c>
      <c r="D173">
        <f>IFERROR(IF(_xlfn.XLOOKUP(A173, ①オッズ入力!$A$2:$A$19, ①オッズ入力!$D$2:$D$19, "")="", 0, _xlfn.XLOOKUP(A173, ①オッズ入力!$A$2:$A$19, ①オッズ入力!$D$2:$D$19, 0)), 0)</f>
        <v>0.19850014668353391</v>
      </c>
      <c r="E173">
        <f>IFERROR(IF(_xlfn.XLOOKUP(B173, ①オッズ入力!$A$2:$A$19, ①オッズ入力!$D$2:$D$19, "")="", 0, _xlfn.XLOOKUP(B173, ①オッズ入力!$A$2:$A$19, ①オッズ入力!$D$2:$D$19, 0)), 0)</f>
        <v>4.4662533003795128E-2</v>
      </c>
      <c r="F173">
        <f>IFERROR(IF(_xlfn.XLOOKUP(C173, ①オッズ入力!$A$2:$A$19, ①オッズ入力!$D$2:$D$19, "")="", 0, _xlfn.XLOOKUP(C173, ①オッズ入力!$A$2:$A$19, ①オッズ入力!$D$2:$D$19, 0)), 0)</f>
        <v>1.4887511001265043E-2</v>
      </c>
      <c r="G173">
        <f t="shared" si="4"/>
        <v>7576.5888829674668</v>
      </c>
      <c r="H173">
        <f>IF(G173="", 0, IF(OR(A173=③資金配分!$D$1, A173=③資金配分!$D$2, B173=③資金配分!$D$1, B173=③資金配分!$D$2, C173=③資金配分!$D$1, C173=③資金配分!$D$2), 0, IF(OR(A173=③資金配分!$D$4, A173=③資金配分!$D$5, A173=③資金配分!$D$6, B173=③資金配分!$D$4, B173=③資金配分!$D$5, B173=③資金配分!$D$6, C173=③資金配分!$D$4, C173=③資金配分!$D$5, C173=③資金配分!$D$6), 0, IF(AND(③資金配分!$B$8&gt;0, G173&lt;=③資金配分!$B$8), 1, 0))))</f>
        <v>0</v>
      </c>
      <c r="I173">
        <f t="shared" si="5"/>
        <v>0</v>
      </c>
      <c r="J173">
        <f>IF(I173&gt;0, ROUND((I173 / SUM($I$2:$I$817)) * ③資金配分!$B$7, -2), 0)</f>
        <v>0</v>
      </c>
    </row>
    <row r="174" spans="1:10" x14ac:dyDescent="0.4">
      <c r="A174">
        <v>2</v>
      </c>
      <c r="B174">
        <v>5</v>
      </c>
      <c r="C174">
        <v>13</v>
      </c>
      <c r="D174">
        <f>IFERROR(IF(_xlfn.XLOOKUP(A174, ①オッズ入力!$A$2:$A$19, ①オッズ入力!$D$2:$D$19, "")="", 0, _xlfn.XLOOKUP(A174, ①オッズ入力!$A$2:$A$19, ①オッズ入力!$D$2:$D$19, 0)), 0)</f>
        <v>0.19850014668353391</v>
      </c>
      <c r="E174">
        <f>IFERROR(IF(_xlfn.XLOOKUP(B174, ①オッズ入力!$A$2:$A$19, ①オッズ入力!$D$2:$D$19, "")="", 0, _xlfn.XLOOKUP(B174, ①オッズ入力!$A$2:$A$19, ①オッズ入力!$D$2:$D$19, 0)), 0)</f>
        <v>4.4662533003795128E-2</v>
      </c>
      <c r="F174">
        <f>IFERROR(IF(_xlfn.XLOOKUP(C174, ①オッズ入力!$A$2:$A$19, ①オッズ入力!$D$2:$D$19, "")="", 0, _xlfn.XLOOKUP(C174, ①オッズ入力!$A$2:$A$19, ①オッズ入力!$D$2:$D$19, 0)), 0)</f>
        <v>1.2760723715370036E-2</v>
      </c>
      <c r="G174">
        <f t="shared" si="4"/>
        <v>8839.3536967953805</v>
      </c>
      <c r="H174">
        <f>IF(G174="", 0, IF(OR(A174=③資金配分!$D$1, A174=③資金配分!$D$2, B174=③資金配分!$D$1, B174=③資金配分!$D$2, C174=③資金配分!$D$1, C174=③資金配分!$D$2), 0, IF(OR(A174=③資金配分!$D$4, A174=③資金配分!$D$5, A174=③資金配分!$D$6, B174=③資金配分!$D$4, B174=③資金配分!$D$5, B174=③資金配分!$D$6, C174=③資金配分!$D$4, C174=③資金配分!$D$5, C174=③資金配分!$D$6), 0, IF(AND(③資金配分!$B$8&gt;0, G174&lt;=③資金配分!$B$8), 1, 0))))</f>
        <v>0</v>
      </c>
      <c r="I174">
        <f t="shared" si="5"/>
        <v>0</v>
      </c>
      <c r="J174">
        <f>IF(I174&gt;0, ROUND((I174 / SUM($I$2:$I$817)) * ③資金配分!$B$7, -2), 0)</f>
        <v>0</v>
      </c>
    </row>
    <row r="175" spans="1:10" x14ac:dyDescent="0.4">
      <c r="A175">
        <v>2</v>
      </c>
      <c r="B175">
        <v>5</v>
      </c>
      <c r="C175">
        <v>14</v>
      </c>
      <c r="D175">
        <f>IFERROR(IF(_xlfn.XLOOKUP(A175, ①オッズ入力!$A$2:$A$19, ①オッズ入力!$D$2:$D$19, "")="", 0, _xlfn.XLOOKUP(A175, ①オッズ入力!$A$2:$A$19, ①オッズ入力!$D$2:$D$19, 0)), 0)</f>
        <v>0.19850014668353391</v>
      </c>
      <c r="E175">
        <f>IFERROR(IF(_xlfn.XLOOKUP(B175, ①オッズ入力!$A$2:$A$19, ①オッズ入力!$D$2:$D$19, "")="", 0, _xlfn.XLOOKUP(B175, ①オッズ入力!$A$2:$A$19, ①オッズ入力!$D$2:$D$19, 0)), 0)</f>
        <v>4.4662533003795128E-2</v>
      </c>
      <c r="F175">
        <f>IFERROR(IF(_xlfn.XLOOKUP(C175, ①オッズ入力!$A$2:$A$19, ①オッズ入力!$D$2:$D$19, "")="", 0, _xlfn.XLOOKUP(C175, ①オッズ入力!$A$2:$A$19, ①オッズ入力!$D$2:$D$19, 0)), 0)</f>
        <v>1.1525814968721322E-2</v>
      </c>
      <c r="G175">
        <f t="shared" si="4"/>
        <v>9786.4273071663138</v>
      </c>
      <c r="H175">
        <f>IF(G175="", 0, IF(OR(A175=③資金配分!$D$1, A175=③資金配分!$D$2, B175=③資金配分!$D$1, B175=③資金配分!$D$2, C175=③資金配分!$D$1, C175=③資金配分!$D$2), 0, IF(OR(A175=③資金配分!$D$4, A175=③資金配分!$D$5, A175=③資金配分!$D$6, B175=③資金配分!$D$4, B175=③資金配分!$D$5, B175=③資金配分!$D$6, C175=③資金配分!$D$4, C175=③資金配分!$D$5, C175=③資金配分!$D$6), 0, IF(AND(③資金配分!$B$8&gt;0, G175&lt;=③資金配分!$B$8), 1, 0))))</f>
        <v>0</v>
      </c>
      <c r="I175">
        <f t="shared" si="5"/>
        <v>0</v>
      </c>
      <c r="J175">
        <f>IF(I175&gt;0, ROUND((I175 / SUM($I$2:$I$817)) * ③資金配分!$B$7, -2), 0)</f>
        <v>0</v>
      </c>
    </row>
    <row r="176" spans="1:10" x14ac:dyDescent="0.4">
      <c r="A176">
        <v>2</v>
      </c>
      <c r="B176">
        <v>5</v>
      </c>
      <c r="C176">
        <v>15</v>
      </c>
      <c r="D176">
        <f>IFERROR(IF(_xlfn.XLOOKUP(A176, ①オッズ入力!$A$2:$A$19, ①オッズ入力!$D$2:$D$19, "")="", 0, _xlfn.XLOOKUP(A176, ①オッズ入力!$A$2:$A$19, ①オッズ入力!$D$2:$D$19, 0)), 0)</f>
        <v>0.19850014668353391</v>
      </c>
      <c r="E176">
        <f>IFERROR(IF(_xlfn.XLOOKUP(B176, ①オッズ入力!$A$2:$A$19, ①オッズ入力!$D$2:$D$19, "")="", 0, _xlfn.XLOOKUP(B176, ①オッズ入力!$A$2:$A$19, ①オッズ入力!$D$2:$D$19, 0)), 0)</f>
        <v>4.4662533003795128E-2</v>
      </c>
      <c r="F176">
        <f>IFERROR(IF(_xlfn.XLOOKUP(C176, ①オッズ入力!$A$2:$A$19, ①オッズ入力!$D$2:$D$19, "")="", 0, _xlfn.XLOOKUP(C176, ①オッズ入力!$A$2:$A$19, ①オッズ入力!$D$2:$D$19, 0)), 0)</f>
        <v>1.0697612695519792E-2</v>
      </c>
      <c r="G176">
        <f t="shared" si="4"/>
        <v>10544.086195463058</v>
      </c>
      <c r="H176">
        <f>IF(G176="", 0, IF(OR(A176=③資金配分!$D$1, A176=③資金配分!$D$2, B176=③資金配分!$D$1, B176=③資金配分!$D$2, C176=③資金配分!$D$1, C176=③資金配分!$D$2), 0, IF(OR(A176=③資金配分!$D$4, A176=③資金配分!$D$5, A176=③資金配分!$D$6, B176=③資金配分!$D$4, B176=③資金配分!$D$5, B176=③資金配分!$D$6, C176=③資金配分!$D$4, C176=③資金配分!$D$5, C176=③資金配分!$D$6), 0, IF(AND(③資金配分!$B$8&gt;0, G176&lt;=③資金配分!$B$8), 1, 0))))</f>
        <v>0</v>
      </c>
      <c r="I176">
        <f t="shared" si="5"/>
        <v>0</v>
      </c>
      <c r="J176">
        <f>IF(I176&gt;0, ROUND((I176 / SUM($I$2:$I$817)) * ③資金配分!$B$7, -2), 0)</f>
        <v>0</v>
      </c>
    </row>
    <row r="177" spans="1:10" x14ac:dyDescent="0.4">
      <c r="A177">
        <v>2</v>
      </c>
      <c r="B177">
        <v>5</v>
      </c>
      <c r="C177">
        <v>16</v>
      </c>
      <c r="D177">
        <f>IFERROR(IF(_xlfn.XLOOKUP(A177, ①オッズ入力!$A$2:$A$19, ①オッズ入力!$D$2:$D$19, "")="", 0, _xlfn.XLOOKUP(A177, ①オッズ入力!$A$2:$A$19, ①オッズ入力!$D$2:$D$19, 0)), 0)</f>
        <v>0.19850014668353391</v>
      </c>
      <c r="E177">
        <f>IFERROR(IF(_xlfn.XLOOKUP(B177, ①オッズ入力!$A$2:$A$19, ①オッズ入力!$D$2:$D$19, "")="", 0, _xlfn.XLOOKUP(B177, ①オッズ入力!$A$2:$A$19, ①オッズ入力!$D$2:$D$19, 0)), 0)</f>
        <v>4.4662533003795128E-2</v>
      </c>
      <c r="F177">
        <f>IFERROR(IF(_xlfn.XLOOKUP(C177, ①オッズ入力!$A$2:$A$19, ①オッズ入力!$D$2:$D$19, "")="", 0, _xlfn.XLOOKUP(C177, ①オッズ入力!$A$2:$A$19, ①オッズ入力!$D$2:$D$19, 0)), 0)</f>
        <v>9.8701730395127345E-3</v>
      </c>
      <c r="G177">
        <f t="shared" si="4"/>
        <v>11428.021565142597</v>
      </c>
      <c r="H177">
        <f>IF(G177="", 0, IF(OR(A177=③資金配分!$D$1, A177=③資金配分!$D$2, B177=③資金配分!$D$1, B177=③資金配分!$D$2, C177=③資金配分!$D$1, C177=③資金配分!$D$2), 0, IF(OR(A177=③資金配分!$D$4, A177=③資金配分!$D$5, A177=③資金配分!$D$6, B177=③資金配分!$D$4, B177=③資金配分!$D$5, B177=③資金配分!$D$6, C177=③資金配分!$D$4, C177=③資金配分!$D$5, C177=③資金配分!$D$6), 0, IF(AND(③資金配分!$B$8&gt;0, G177&lt;=③資金配分!$B$8), 1, 0))))</f>
        <v>0</v>
      </c>
      <c r="I177">
        <f t="shared" si="5"/>
        <v>0</v>
      </c>
      <c r="J177">
        <f>IF(I177&gt;0, ROUND((I177 / SUM($I$2:$I$817)) * ③資金配分!$B$7, -2), 0)</f>
        <v>0</v>
      </c>
    </row>
    <row r="178" spans="1:10" x14ac:dyDescent="0.4">
      <c r="A178">
        <v>2</v>
      </c>
      <c r="B178">
        <v>5</v>
      </c>
      <c r="C178">
        <v>17</v>
      </c>
      <c r="D178">
        <f>IFERROR(IF(_xlfn.XLOOKUP(A178, ①オッズ入力!$A$2:$A$19, ①オッズ入力!$D$2:$D$19, "")="", 0, _xlfn.XLOOKUP(A178, ①オッズ入力!$A$2:$A$19, ①オッズ入力!$D$2:$D$19, 0)), 0)</f>
        <v>0.19850014668353391</v>
      </c>
      <c r="E178">
        <f>IFERROR(IF(_xlfn.XLOOKUP(B178, ①オッズ入力!$A$2:$A$19, ①オッズ入力!$D$2:$D$19, "")="", 0, _xlfn.XLOOKUP(B178, ①オッズ入力!$A$2:$A$19, ①オッズ入力!$D$2:$D$19, 0)), 0)</f>
        <v>4.4662533003795128E-2</v>
      </c>
      <c r="F178">
        <f>IFERROR(IF(_xlfn.XLOOKUP(C178, ①オッズ入力!$A$2:$A$19, ①オッズ入力!$D$2:$D$19, "")="", 0, _xlfn.XLOOKUP(C178, ①オッズ入力!$A$2:$A$19, ①オッズ入力!$D$2:$D$19, 0)), 0)</f>
        <v>9.1615452315477186E-3</v>
      </c>
      <c r="G178">
        <f t="shared" si="4"/>
        <v>12311.956934822134</v>
      </c>
      <c r="H178">
        <f>IF(G178="", 0, IF(OR(A178=③資金配分!$D$1, A178=③資金配分!$D$2, B178=③資金配分!$D$1, B178=③資金配分!$D$2, C178=③資金配分!$D$1, C178=③資金配分!$D$2), 0, IF(OR(A178=③資金配分!$D$4, A178=③資金配分!$D$5, A178=③資金配分!$D$6, B178=③資金配分!$D$4, B178=③資金配分!$D$5, B178=③資金配分!$D$6, C178=③資金配分!$D$4, C178=③資金配分!$D$5, C178=③資金配分!$D$6), 0, IF(AND(③資金配分!$B$8&gt;0, G178&lt;=③資金配分!$B$8), 1, 0))))</f>
        <v>0</v>
      </c>
      <c r="I178">
        <f t="shared" si="5"/>
        <v>0</v>
      </c>
      <c r="J178">
        <f>IF(I178&gt;0, ROUND((I178 / SUM($I$2:$I$817)) * ③資金配分!$B$7, -2), 0)</f>
        <v>0</v>
      </c>
    </row>
    <row r="179" spans="1:10" x14ac:dyDescent="0.4">
      <c r="A179">
        <v>2</v>
      </c>
      <c r="B179">
        <v>5</v>
      </c>
      <c r="C179">
        <v>18</v>
      </c>
      <c r="D179">
        <f>IFERROR(IF(_xlfn.XLOOKUP(A179, ①オッズ入力!$A$2:$A$19, ①オッズ入力!$D$2:$D$19, "")="", 0, _xlfn.XLOOKUP(A179, ①オッズ入力!$A$2:$A$19, ①オッズ入力!$D$2:$D$19, 0)), 0)</f>
        <v>0.19850014668353391</v>
      </c>
      <c r="E179">
        <f>IFERROR(IF(_xlfn.XLOOKUP(B179, ①オッズ入力!$A$2:$A$19, ①オッズ入力!$D$2:$D$19, "")="", 0, _xlfn.XLOOKUP(B179, ①オッズ入力!$A$2:$A$19, ①オッズ入力!$D$2:$D$19, 0)), 0)</f>
        <v>4.4662533003795128E-2</v>
      </c>
      <c r="F179">
        <f>IFERROR(IF(_xlfn.XLOOKUP(C179, ①オッズ入力!$A$2:$A$19, ①オッズ入力!$D$2:$D$19, "")="", 0, _xlfn.XLOOKUP(C179, ①オッズ入力!$A$2:$A$19, ①オッズ入力!$D$2:$D$19, 0)), 0)</f>
        <v>8.5478532064679671E-3</v>
      </c>
      <c r="G179">
        <f t="shared" si="4"/>
        <v>13195.892304501675</v>
      </c>
      <c r="H179">
        <f>IF(G179="", 0, IF(OR(A179=③資金配分!$D$1, A179=③資金配分!$D$2, B179=③資金配分!$D$1, B179=③資金配分!$D$2, C179=③資金配分!$D$1, C179=③資金配分!$D$2), 0, IF(OR(A179=③資金配分!$D$4, A179=③資金配分!$D$5, A179=③資金配分!$D$6, B179=③資金配分!$D$4, B179=③資金配分!$D$5, B179=③資金配分!$D$6, C179=③資金配分!$D$4, C179=③資金配分!$D$5, C179=③資金配分!$D$6), 0, IF(AND(③資金配分!$B$8&gt;0, G179&lt;=③資金配分!$B$8), 1, 0))))</f>
        <v>0</v>
      </c>
      <c r="I179">
        <f t="shared" si="5"/>
        <v>0</v>
      </c>
      <c r="J179">
        <f>IF(I179&gt;0, ROUND((I179 / SUM($I$2:$I$817)) * ③資金配分!$B$7, -2), 0)</f>
        <v>0</v>
      </c>
    </row>
    <row r="180" spans="1:10" x14ac:dyDescent="0.4">
      <c r="A180">
        <v>2</v>
      </c>
      <c r="B180">
        <v>6</v>
      </c>
      <c r="C180">
        <v>7</v>
      </c>
      <c r="D180">
        <f>IFERROR(IF(_xlfn.XLOOKUP(A180, ①オッズ入力!$A$2:$A$19, ①オッズ入力!$D$2:$D$19, "")="", 0, _xlfn.XLOOKUP(A180, ①オッズ入力!$A$2:$A$19, ①オッズ入力!$D$2:$D$19, 0)), 0)</f>
        <v>0.19850014668353391</v>
      </c>
      <c r="E180">
        <f>IFERROR(IF(_xlfn.XLOOKUP(B180, ①オッズ入力!$A$2:$A$19, ①オッズ入力!$D$2:$D$19, "")="", 0, _xlfn.XLOOKUP(B180, ①オッズ入力!$A$2:$A$19, ①オッズ入力!$D$2:$D$19, 0)), 0)</f>
        <v>3.2481842184578273E-2</v>
      </c>
      <c r="F180">
        <f>IFERROR(IF(_xlfn.XLOOKUP(C180, ①オッズ入力!$A$2:$A$19, ①オッズ入力!$D$2:$D$19, "")="", 0, _xlfn.XLOOKUP(C180, ①オッズ入力!$A$2:$A$19, ①オッズ入力!$D$2:$D$19, 0)), 0)</f>
        <v>2.9775022002530085E-2</v>
      </c>
      <c r="G180">
        <f t="shared" si="4"/>
        <v>5208.9048570401337</v>
      </c>
      <c r="H180">
        <f>IF(G180="", 0, IF(OR(A180=③資金配分!$D$1, A180=③資金配分!$D$2, B180=③資金配分!$D$1, B180=③資金配分!$D$2, C180=③資金配分!$D$1, C180=③資金配分!$D$2), 0, IF(OR(A180=③資金配分!$D$4, A180=③資金配分!$D$5, A180=③資金配分!$D$6, B180=③資金配分!$D$4, B180=③資金配分!$D$5, B180=③資金配分!$D$6, C180=③資金配分!$D$4, C180=③資金配分!$D$5, C180=③資金配分!$D$6), 0, IF(AND(③資金配分!$B$8&gt;0, G180&lt;=③資金配分!$B$8), 1, 0))))</f>
        <v>0</v>
      </c>
      <c r="I180">
        <f t="shared" si="5"/>
        <v>0</v>
      </c>
      <c r="J180">
        <f>IF(I180&gt;0, ROUND((I180 / SUM($I$2:$I$817)) * ③資金配分!$B$7, -2), 0)</f>
        <v>0</v>
      </c>
    </row>
    <row r="181" spans="1:10" x14ac:dyDescent="0.4">
      <c r="A181">
        <v>2</v>
      </c>
      <c r="B181">
        <v>6</v>
      </c>
      <c r="C181">
        <v>8</v>
      </c>
      <c r="D181">
        <f>IFERROR(IF(_xlfn.XLOOKUP(A181, ①オッズ入力!$A$2:$A$19, ①オッズ入力!$D$2:$D$19, "")="", 0, _xlfn.XLOOKUP(A181, ①オッズ入力!$A$2:$A$19, ①オッズ入力!$D$2:$D$19, 0)), 0)</f>
        <v>0.19850014668353391</v>
      </c>
      <c r="E181">
        <f>IFERROR(IF(_xlfn.XLOOKUP(B181, ①オッズ入力!$A$2:$A$19, ①オッズ入力!$D$2:$D$19, "")="", 0, _xlfn.XLOOKUP(B181, ①オッズ入力!$A$2:$A$19, ①オッズ入力!$D$2:$D$19, 0)), 0)</f>
        <v>3.2481842184578273E-2</v>
      </c>
      <c r="F181">
        <f>IFERROR(IF(_xlfn.XLOOKUP(C181, ①オッズ入力!$A$2:$A$19, ①オッズ入力!$D$2:$D$19, "")="", 0, _xlfn.XLOOKUP(C181, ①オッズ入力!$A$2:$A$19, ①オッズ入力!$D$2:$D$19, 0)), 0)</f>
        <v>2.3820017602024068E-2</v>
      </c>
      <c r="G181">
        <f t="shared" si="4"/>
        <v>6511.1310713001676</v>
      </c>
      <c r="H181">
        <f>IF(G181="", 0, IF(OR(A181=③資金配分!$D$1, A181=③資金配分!$D$2, B181=③資金配分!$D$1, B181=③資金配分!$D$2, C181=③資金配分!$D$1, C181=③資金配分!$D$2), 0, IF(OR(A181=③資金配分!$D$4, A181=③資金配分!$D$5, A181=③資金配分!$D$6, B181=③資金配分!$D$4, B181=③資金配分!$D$5, B181=③資金配分!$D$6, C181=③資金配分!$D$4, C181=③資金配分!$D$5, C181=③資金配分!$D$6), 0, IF(AND(③資金配分!$B$8&gt;0, G181&lt;=③資金配分!$B$8), 1, 0))))</f>
        <v>0</v>
      </c>
      <c r="I181">
        <f t="shared" si="5"/>
        <v>0</v>
      </c>
      <c r="J181">
        <f>IF(I181&gt;0, ROUND((I181 / SUM($I$2:$I$817)) * ③資金配分!$B$7, -2), 0)</f>
        <v>0</v>
      </c>
    </row>
    <row r="182" spans="1:10" x14ac:dyDescent="0.4">
      <c r="A182">
        <v>2</v>
      </c>
      <c r="B182">
        <v>6</v>
      </c>
      <c r="C182">
        <v>9</v>
      </c>
      <c r="D182">
        <f>IFERROR(IF(_xlfn.XLOOKUP(A182, ①オッズ入力!$A$2:$A$19, ①オッズ入力!$D$2:$D$19, "")="", 0, _xlfn.XLOOKUP(A182, ①オッズ入力!$A$2:$A$19, ①オッズ入力!$D$2:$D$19, 0)), 0)</f>
        <v>0.19850014668353391</v>
      </c>
      <c r="E182">
        <f>IFERROR(IF(_xlfn.XLOOKUP(B182, ①オッズ入力!$A$2:$A$19, ①オッズ入力!$D$2:$D$19, "")="", 0, _xlfn.XLOOKUP(B182, ①オッズ入力!$A$2:$A$19, ①オッズ入力!$D$2:$D$19, 0)), 0)</f>
        <v>3.2481842184578273E-2</v>
      </c>
      <c r="F182">
        <f>IFERROR(IF(_xlfn.XLOOKUP(C182, ①オッズ入力!$A$2:$A$19, ①オッズ入力!$D$2:$D$19, "")="", 0, _xlfn.XLOOKUP(C182, ①オッズ入力!$A$2:$A$19, ①オッズ入力!$D$2:$D$19, 0)), 0)</f>
        <v>1.9850014668353389E-2</v>
      </c>
      <c r="G182">
        <f t="shared" si="4"/>
        <v>7813.3572855602006</v>
      </c>
      <c r="H182">
        <f>IF(G182="", 0, IF(OR(A182=③資金配分!$D$1, A182=③資金配分!$D$2, B182=③資金配分!$D$1, B182=③資金配分!$D$2, C182=③資金配分!$D$1, C182=③資金配分!$D$2), 0, IF(OR(A182=③資金配分!$D$4, A182=③資金配分!$D$5, A182=③資金配分!$D$6, B182=③資金配分!$D$4, B182=③資金配分!$D$5, B182=③資金配分!$D$6, C182=③資金配分!$D$4, C182=③資金配分!$D$5, C182=③資金配分!$D$6), 0, IF(AND(③資金配分!$B$8&gt;0, G182&lt;=③資金配分!$B$8), 1, 0))))</f>
        <v>0</v>
      </c>
      <c r="I182">
        <f t="shared" si="5"/>
        <v>0</v>
      </c>
      <c r="J182">
        <f>IF(I182&gt;0, ROUND((I182 / SUM($I$2:$I$817)) * ③資金配分!$B$7, -2), 0)</f>
        <v>0</v>
      </c>
    </row>
    <row r="183" spans="1:10" x14ac:dyDescent="0.4">
      <c r="A183">
        <v>2</v>
      </c>
      <c r="B183">
        <v>6</v>
      </c>
      <c r="C183">
        <v>10</v>
      </c>
      <c r="D183">
        <f>IFERROR(IF(_xlfn.XLOOKUP(A183, ①オッズ入力!$A$2:$A$19, ①オッズ入力!$D$2:$D$19, "")="", 0, _xlfn.XLOOKUP(A183, ①オッズ入力!$A$2:$A$19, ①オッズ入力!$D$2:$D$19, 0)), 0)</f>
        <v>0.19850014668353391</v>
      </c>
      <c r="E183">
        <f>IFERROR(IF(_xlfn.XLOOKUP(B183, ①オッズ入力!$A$2:$A$19, ①オッズ入力!$D$2:$D$19, "")="", 0, _xlfn.XLOOKUP(B183, ①オッズ入力!$A$2:$A$19, ①オッズ入力!$D$2:$D$19, 0)), 0)</f>
        <v>3.2481842184578273E-2</v>
      </c>
      <c r="F183">
        <f>IFERROR(IF(_xlfn.XLOOKUP(C183, ①オッズ入力!$A$2:$A$19, ①オッズ入力!$D$2:$D$19, "")="", 0, _xlfn.XLOOKUP(C183, ①オッズ入力!$A$2:$A$19, ①オッズ入力!$D$2:$D$19, 0)), 0)</f>
        <v>1.7865013201518051E-2</v>
      </c>
      <c r="G183">
        <f t="shared" si="4"/>
        <v>8681.5080950668889</v>
      </c>
      <c r="H183">
        <f>IF(G183="", 0, IF(OR(A183=③資金配分!$D$1, A183=③資金配分!$D$2, B183=③資金配分!$D$1, B183=③資金配分!$D$2, C183=③資金配分!$D$1, C183=③資金配分!$D$2), 0, IF(OR(A183=③資金配分!$D$4, A183=③資金配分!$D$5, A183=③資金配分!$D$6, B183=③資金配分!$D$4, B183=③資金配分!$D$5, B183=③資金配分!$D$6, C183=③資金配分!$D$4, C183=③資金配分!$D$5, C183=③資金配分!$D$6), 0, IF(AND(③資金配分!$B$8&gt;0, G183&lt;=③資金配分!$B$8), 1, 0))))</f>
        <v>0</v>
      </c>
      <c r="I183">
        <f t="shared" si="5"/>
        <v>0</v>
      </c>
      <c r="J183">
        <f>IF(I183&gt;0, ROUND((I183 / SUM($I$2:$I$817)) * ③資金配分!$B$7, -2), 0)</f>
        <v>0</v>
      </c>
    </row>
    <row r="184" spans="1:10" x14ac:dyDescent="0.4">
      <c r="A184">
        <v>2</v>
      </c>
      <c r="B184">
        <v>6</v>
      </c>
      <c r="C184">
        <v>11</v>
      </c>
      <c r="D184">
        <f>IFERROR(IF(_xlfn.XLOOKUP(A184, ①オッズ入力!$A$2:$A$19, ①オッズ入力!$D$2:$D$19, "")="", 0, _xlfn.XLOOKUP(A184, ①オッズ入力!$A$2:$A$19, ①オッズ入力!$D$2:$D$19, 0)), 0)</f>
        <v>0.19850014668353391</v>
      </c>
      <c r="E184">
        <f>IFERROR(IF(_xlfn.XLOOKUP(B184, ①オッズ入力!$A$2:$A$19, ①オッズ入力!$D$2:$D$19, "")="", 0, _xlfn.XLOOKUP(B184, ①オッズ入力!$A$2:$A$19, ①オッズ入力!$D$2:$D$19, 0)), 0)</f>
        <v>3.2481842184578273E-2</v>
      </c>
      <c r="F184">
        <f>IFERROR(IF(_xlfn.XLOOKUP(C184, ①オッズ入力!$A$2:$A$19, ①オッズ入力!$D$2:$D$19, "")="", 0, _xlfn.XLOOKUP(C184, ①オッズ入力!$A$2:$A$19, ①オッズ入力!$D$2:$D$19, 0)), 0)</f>
        <v>1.6240921092289137E-2</v>
      </c>
      <c r="G184">
        <f t="shared" si="4"/>
        <v>9549.65890457358</v>
      </c>
      <c r="H184">
        <f>IF(G184="", 0, IF(OR(A184=③資金配分!$D$1, A184=③資金配分!$D$2, B184=③資金配分!$D$1, B184=③資金配分!$D$2, C184=③資金配分!$D$1, C184=③資金配分!$D$2), 0, IF(OR(A184=③資金配分!$D$4, A184=③資金配分!$D$5, A184=③資金配分!$D$6, B184=③資金配分!$D$4, B184=③資金配分!$D$5, B184=③資金配分!$D$6, C184=③資金配分!$D$4, C184=③資金配分!$D$5, C184=③資金配分!$D$6), 0, IF(AND(③資金配分!$B$8&gt;0, G184&lt;=③資金配分!$B$8), 1, 0))))</f>
        <v>0</v>
      </c>
      <c r="I184">
        <f t="shared" si="5"/>
        <v>0</v>
      </c>
      <c r="J184">
        <f>IF(I184&gt;0, ROUND((I184 / SUM($I$2:$I$817)) * ③資金配分!$B$7, -2), 0)</f>
        <v>0</v>
      </c>
    </row>
    <row r="185" spans="1:10" x14ac:dyDescent="0.4">
      <c r="A185">
        <v>2</v>
      </c>
      <c r="B185">
        <v>6</v>
      </c>
      <c r="C185">
        <v>12</v>
      </c>
      <c r="D185">
        <f>IFERROR(IF(_xlfn.XLOOKUP(A185, ①オッズ入力!$A$2:$A$19, ①オッズ入力!$D$2:$D$19, "")="", 0, _xlfn.XLOOKUP(A185, ①オッズ入力!$A$2:$A$19, ①オッズ入力!$D$2:$D$19, 0)), 0)</f>
        <v>0.19850014668353391</v>
      </c>
      <c r="E185">
        <f>IFERROR(IF(_xlfn.XLOOKUP(B185, ①オッズ入力!$A$2:$A$19, ①オッズ入力!$D$2:$D$19, "")="", 0, _xlfn.XLOOKUP(B185, ①オッズ入力!$A$2:$A$19, ①オッズ入力!$D$2:$D$19, 0)), 0)</f>
        <v>3.2481842184578273E-2</v>
      </c>
      <c r="F185">
        <f>IFERROR(IF(_xlfn.XLOOKUP(C185, ①オッズ入力!$A$2:$A$19, ①オッズ入力!$D$2:$D$19, "")="", 0, _xlfn.XLOOKUP(C185, ①オッズ入力!$A$2:$A$19, ①オッズ入力!$D$2:$D$19, 0)), 0)</f>
        <v>1.4887511001265043E-2</v>
      </c>
      <c r="G185">
        <f t="shared" si="4"/>
        <v>10417.809714080267</v>
      </c>
      <c r="H185">
        <f>IF(G185="", 0, IF(OR(A185=③資金配分!$D$1, A185=③資金配分!$D$2, B185=③資金配分!$D$1, B185=③資金配分!$D$2, C185=③資金配分!$D$1, C185=③資金配分!$D$2), 0, IF(OR(A185=③資金配分!$D$4, A185=③資金配分!$D$5, A185=③資金配分!$D$6, B185=③資金配分!$D$4, B185=③資金配分!$D$5, B185=③資金配分!$D$6, C185=③資金配分!$D$4, C185=③資金配分!$D$5, C185=③資金配分!$D$6), 0, IF(AND(③資金配分!$B$8&gt;0, G185&lt;=③資金配分!$B$8), 1, 0))))</f>
        <v>0</v>
      </c>
      <c r="I185">
        <f t="shared" si="5"/>
        <v>0</v>
      </c>
      <c r="J185">
        <f>IF(I185&gt;0, ROUND((I185 / SUM($I$2:$I$817)) * ③資金配分!$B$7, -2), 0)</f>
        <v>0</v>
      </c>
    </row>
    <row r="186" spans="1:10" x14ac:dyDescent="0.4">
      <c r="A186">
        <v>2</v>
      </c>
      <c r="B186">
        <v>6</v>
      </c>
      <c r="C186">
        <v>13</v>
      </c>
      <c r="D186">
        <f>IFERROR(IF(_xlfn.XLOOKUP(A186, ①オッズ入力!$A$2:$A$19, ①オッズ入力!$D$2:$D$19, "")="", 0, _xlfn.XLOOKUP(A186, ①オッズ入力!$A$2:$A$19, ①オッズ入力!$D$2:$D$19, 0)), 0)</f>
        <v>0.19850014668353391</v>
      </c>
      <c r="E186">
        <f>IFERROR(IF(_xlfn.XLOOKUP(B186, ①オッズ入力!$A$2:$A$19, ①オッズ入力!$D$2:$D$19, "")="", 0, _xlfn.XLOOKUP(B186, ①オッズ入力!$A$2:$A$19, ①オッズ入力!$D$2:$D$19, 0)), 0)</f>
        <v>3.2481842184578273E-2</v>
      </c>
      <c r="F186">
        <f>IFERROR(IF(_xlfn.XLOOKUP(C186, ①オッズ入力!$A$2:$A$19, ①オッズ入力!$D$2:$D$19, "")="", 0, _xlfn.XLOOKUP(C186, ①オッズ入力!$A$2:$A$19, ①オッズ入力!$D$2:$D$19, 0)), 0)</f>
        <v>1.2760723715370036E-2</v>
      </c>
      <c r="G186">
        <f t="shared" si="4"/>
        <v>12154.111333093646</v>
      </c>
      <c r="H186">
        <f>IF(G186="", 0, IF(OR(A186=③資金配分!$D$1, A186=③資金配分!$D$2, B186=③資金配分!$D$1, B186=③資金配分!$D$2, C186=③資金配分!$D$1, C186=③資金配分!$D$2), 0, IF(OR(A186=③資金配分!$D$4, A186=③資金配分!$D$5, A186=③資金配分!$D$6, B186=③資金配分!$D$4, B186=③資金配分!$D$5, B186=③資金配分!$D$6, C186=③資金配分!$D$4, C186=③資金配分!$D$5, C186=③資金配分!$D$6), 0, IF(AND(③資金配分!$B$8&gt;0, G186&lt;=③資金配分!$B$8), 1, 0))))</f>
        <v>0</v>
      </c>
      <c r="I186">
        <f t="shared" si="5"/>
        <v>0</v>
      </c>
      <c r="J186">
        <f>IF(I186&gt;0, ROUND((I186 / SUM($I$2:$I$817)) * ③資金配分!$B$7, -2), 0)</f>
        <v>0</v>
      </c>
    </row>
    <row r="187" spans="1:10" x14ac:dyDescent="0.4">
      <c r="A187">
        <v>2</v>
      </c>
      <c r="B187">
        <v>6</v>
      </c>
      <c r="C187">
        <v>14</v>
      </c>
      <c r="D187">
        <f>IFERROR(IF(_xlfn.XLOOKUP(A187, ①オッズ入力!$A$2:$A$19, ①オッズ入力!$D$2:$D$19, "")="", 0, _xlfn.XLOOKUP(A187, ①オッズ入力!$A$2:$A$19, ①オッズ入力!$D$2:$D$19, 0)), 0)</f>
        <v>0.19850014668353391</v>
      </c>
      <c r="E187">
        <f>IFERROR(IF(_xlfn.XLOOKUP(B187, ①オッズ入力!$A$2:$A$19, ①オッズ入力!$D$2:$D$19, "")="", 0, _xlfn.XLOOKUP(B187, ①オッズ入力!$A$2:$A$19, ①オッズ入力!$D$2:$D$19, 0)), 0)</f>
        <v>3.2481842184578273E-2</v>
      </c>
      <c r="F187">
        <f>IFERROR(IF(_xlfn.XLOOKUP(C187, ①オッズ入力!$A$2:$A$19, ①オッズ入力!$D$2:$D$19, "")="", 0, _xlfn.XLOOKUP(C187, ①オッズ入力!$A$2:$A$19, ①オッズ入力!$D$2:$D$19, 0)), 0)</f>
        <v>1.1525814968721322E-2</v>
      </c>
      <c r="G187">
        <f t="shared" si="4"/>
        <v>13456.33754735368</v>
      </c>
      <c r="H187">
        <f>IF(G187="", 0, IF(OR(A187=③資金配分!$D$1, A187=③資金配分!$D$2, B187=③資金配分!$D$1, B187=③資金配分!$D$2, C187=③資金配分!$D$1, C187=③資金配分!$D$2), 0, IF(OR(A187=③資金配分!$D$4, A187=③資金配分!$D$5, A187=③資金配分!$D$6, B187=③資金配分!$D$4, B187=③資金配分!$D$5, B187=③資金配分!$D$6, C187=③資金配分!$D$4, C187=③資金配分!$D$5, C187=③資金配分!$D$6), 0, IF(AND(③資金配分!$B$8&gt;0, G187&lt;=③資金配分!$B$8), 1, 0))))</f>
        <v>0</v>
      </c>
      <c r="I187">
        <f t="shared" si="5"/>
        <v>0</v>
      </c>
      <c r="J187">
        <f>IF(I187&gt;0, ROUND((I187 / SUM($I$2:$I$817)) * ③資金配分!$B$7, -2), 0)</f>
        <v>0</v>
      </c>
    </row>
    <row r="188" spans="1:10" x14ac:dyDescent="0.4">
      <c r="A188">
        <v>2</v>
      </c>
      <c r="B188">
        <v>6</v>
      </c>
      <c r="C188">
        <v>15</v>
      </c>
      <c r="D188">
        <f>IFERROR(IF(_xlfn.XLOOKUP(A188, ①オッズ入力!$A$2:$A$19, ①オッズ入力!$D$2:$D$19, "")="", 0, _xlfn.XLOOKUP(A188, ①オッズ入力!$A$2:$A$19, ①オッズ入力!$D$2:$D$19, 0)), 0)</f>
        <v>0.19850014668353391</v>
      </c>
      <c r="E188">
        <f>IFERROR(IF(_xlfn.XLOOKUP(B188, ①オッズ入力!$A$2:$A$19, ①オッズ入力!$D$2:$D$19, "")="", 0, _xlfn.XLOOKUP(B188, ①オッズ入力!$A$2:$A$19, ①オッズ入力!$D$2:$D$19, 0)), 0)</f>
        <v>3.2481842184578273E-2</v>
      </c>
      <c r="F188">
        <f>IFERROR(IF(_xlfn.XLOOKUP(C188, ①オッズ入力!$A$2:$A$19, ①オッズ入力!$D$2:$D$19, "")="", 0, _xlfn.XLOOKUP(C188, ①オッズ入力!$A$2:$A$19, ①オッズ入力!$D$2:$D$19, 0)), 0)</f>
        <v>1.0697612695519792E-2</v>
      </c>
      <c r="G188">
        <f t="shared" si="4"/>
        <v>14498.118518761705</v>
      </c>
      <c r="H188">
        <f>IF(G188="", 0, IF(OR(A188=③資金配分!$D$1, A188=③資金配分!$D$2, B188=③資金配分!$D$1, B188=③資金配分!$D$2, C188=③資金配分!$D$1, C188=③資金配分!$D$2), 0, IF(OR(A188=③資金配分!$D$4, A188=③資金配分!$D$5, A188=③資金配分!$D$6, B188=③資金配分!$D$4, B188=③資金配分!$D$5, B188=③資金配分!$D$6, C188=③資金配分!$D$4, C188=③資金配分!$D$5, C188=③資金配分!$D$6), 0, IF(AND(③資金配分!$B$8&gt;0, G188&lt;=③資金配分!$B$8), 1, 0))))</f>
        <v>0</v>
      </c>
      <c r="I188">
        <f t="shared" si="5"/>
        <v>0</v>
      </c>
      <c r="J188">
        <f>IF(I188&gt;0, ROUND((I188 / SUM($I$2:$I$817)) * ③資金配分!$B$7, -2), 0)</f>
        <v>0</v>
      </c>
    </row>
    <row r="189" spans="1:10" x14ac:dyDescent="0.4">
      <c r="A189">
        <v>2</v>
      </c>
      <c r="B189">
        <v>6</v>
      </c>
      <c r="C189">
        <v>16</v>
      </c>
      <c r="D189">
        <f>IFERROR(IF(_xlfn.XLOOKUP(A189, ①オッズ入力!$A$2:$A$19, ①オッズ入力!$D$2:$D$19, "")="", 0, _xlfn.XLOOKUP(A189, ①オッズ入力!$A$2:$A$19, ①オッズ入力!$D$2:$D$19, 0)), 0)</f>
        <v>0.19850014668353391</v>
      </c>
      <c r="E189">
        <f>IFERROR(IF(_xlfn.XLOOKUP(B189, ①オッズ入力!$A$2:$A$19, ①オッズ入力!$D$2:$D$19, "")="", 0, _xlfn.XLOOKUP(B189, ①オッズ入力!$A$2:$A$19, ①オッズ入力!$D$2:$D$19, 0)), 0)</f>
        <v>3.2481842184578273E-2</v>
      </c>
      <c r="F189">
        <f>IFERROR(IF(_xlfn.XLOOKUP(C189, ①オッズ入力!$A$2:$A$19, ①オッズ入力!$D$2:$D$19, "")="", 0, _xlfn.XLOOKUP(C189, ①オッズ入力!$A$2:$A$19, ①オッズ入力!$D$2:$D$19, 0)), 0)</f>
        <v>9.8701730395127345E-3</v>
      </c>
      <c r="G189">
        <f t="shared" si="4"/>
        <v>15713.529652071074</v>
      </c>
      <c r="H189">
        <f>IF(G189="", 0, IF(OR(A189=③資金配分!$D$1, A189=③資金配分!$D$2, B189=③資金配分!$D$1, B189=③資金配分!$D$2, C189=③資金配分!$D$1, C189=③資金配分!$D$2), 0, IF(OR(A189=③資金配分!$D$4, A189=③資金配分!$D$5, A189=③資金配分!$D$6, B189=③資金配分!$D$4, B189=③資金配分!$D$5, B189=③資金配分!$D$6, C189=③資金配分!$D$4, C189=③資金配分!$D$5, C189=③資金配分!$D$6), 0, IF(AND(③資金配分!$B$8&gt;0, G189&lt;=③資金配分!$B$8), 1, 0))))</f>
        <v>0</v>
      </c>
      <c r="I189">
        <f t="shared" si="5"/>
        <v>0</v>
      </c>
      <c r="J189">
        <f>IF(I189&gt;0, ROUND((I189 / SUM($I$2:$I$817)) * ③資金配分!$B$7, -2), 0)</f>
        <v>0</v>
      </c>
    </row>
    <row r="190" spans="1:10" x14ac:dyDescent="0.4">
      <c r="A190">
        <v>2</v>
      </c>
      <c r="B190">
        <v>6</v>
      </c>
      <c r="C190">
        <v>17</v>
      </c>
      <c r="D190">
        <f>IFERROR(IF(_xlfn.XLOOKUP(A190, ①オッズ入力!$A$2:$A$19, ①オッズ入力!$D$2:$D$19, "")="", 0, _xlfn.XLOOKUP(A190, ①オッズ入力!$A$2:$A$19, ①オッズ入力!$D$2:$D$19, 0)), 0)</f>
        <v>0.19850014668353391</v>
      </c>
      <c r="E190">
        <f>IFERROR(IF(_xlfn.XLOOKUP(B190, ①オッズ入力!$A$2:$A$19, ①オッズ入力!$D$2:$D$19, "")="", 0, _xlfn.XLOOKUP(B190, ①オッズ入力!$A$2:$A$19, ①オッズ入力!$D$2:$D$19, 0)), 0)</f>
        <v>3.2481842184578273E-2</v>
      </c>
      <c r="F190">
        <f>IFERROR(IF(_xlfn.XLOOKUP(C190, ①オッズ入力!$A$2:$A$19, ①オッズ入力!$D$2:$D$19, "")="", 0, _xlfn.XLOOKUP(C190, ①オッズ入力!$A$2:$A$19, ①オッズ入力!$D$2:$D$19, 0)), 0)</f>
        <v>9.1615452315477186E-3</v>
      </c>
      <c r="G190">
        <f t="shared" si="4"/>
        <v>16928.940785380437</v>
      </c>
      <c r="H190">
        <f>IF(G190="", 0, IF(OR(A190=③資金配分!$D$1, A190=③資金配分!$D$2, B190=③資金配分!$D$1, B190=③資金配分!$D$2, C190=③資金配分!$D$1, C190=③資金配分!$D$2), 0, IF(OR(A190=③資金配分!$D$4, A190=③資金配分!$D$5, A190=③資金配分!$D$6, B190=③資金配分!$D$4, B190=③資金配分!$D$5, B190=③資金配分!$D$6, C190=③資金配分!$D$4, C190=③資金配分!$D$5, C190=③資金配分!$D$6), 0, IF(AND(③資金配分!$B$8&gt;0, G190&lt;=③資金配分!$B$8), 1, 0))))</f>
        <v>0</v>
      </c>
      <c r="I190">
        <f t="shared" si="5"/>
        <v>0</v>
      </c>
      <c r="J190">
        <f>IF(I190&gt;0, ROUND((I190 / SUM($I$2:$I$817)) * ③資金配分!$B$7, -2), 0)</f>
        <v>0</v>
      </c>
    </row>
    <row r="191" spans="1:10" x14ac:dyDescent="0.4">
      <c r="A191">
        <v>2</v>
      </c>
      <c r="B191">
        <v>6</v>
      </c>
      <c r="C191">
        <v>18</v>
      </c>
      <c r="D191">
        <f>IFERROR(IF(_xlfn.XLOOKUP(A191, ①オッズ入力!$A$2:$A$19, ①オッズ入力!$D$2:$D$19, "")="", 0, _xlfn.XLOOKUP(A191, ①オッズ入力!$A$2:$A$19, ①オッズ入力!$D$2:$D$19, 0)), 0)</f>
        <v>0.19850014668353391</v>
      </c>
      <c r="E191">
        <f>IFERROR(IF(_xlfn.XLOOKUP(B191, ①オッズ入力!$A$2:$A$19, ①オッズ入力!$D$2:$D$19, "")="", 0, _xlfn.XLOOKUP(B191, ①オッズ入力!$A$2:$A$19, ①オッズ入力!$D$2:$D$19, 0)), 0)</f>
        <v>3.2481842184578273E-2</v>
      </c>
      <c r="F191">
        <f>IFERROR(IF(_xlfn.XLOOKUP(C191, ①オッズ入力!$A$2:$A$19, ①オッズ入力!$D$2:$D$19, "")="", 0, _xlfn.XLOOKUP(C191, ①オッズ入力!$A$2:$A$19, ①オッズ入力!$D$2:$D$19, 0)), 0)</f>
        <v>8.5478532064679671E-3</v>
      </c>
      <c r="G191">
        <f t="shared" si="4"/>
        <v>18144.351918689801</v>
      </c>
      <c r="H191">
        <f>IF(G191="", 0, IF(OR(A191=③資金配分!$D$1, A191=③資金配分!$D$2, B191=③資金配分!$D$1, B191=③資金配分!$D$2, C191=③資金配分!$D$1, C191=③資金配分!$D$2), 0, IF(OR(A191=③資金配分!$D$4, A191=③資金配分!$D$5, A191=③資金配分!$D$6, B191=③資金配分!$D$4, B191=③資金配分!$D$5, B191=③資金配分!$D$6, C191=③資金配分!$D$4, C191=③資金配分!$D$5, C191=③資金配分!$D$6), 0, IF(AND(③資金配分!$B$8&gt;0, G191&lt;=③資金配分!$B$8), 1, 0))))</f>
        <v>0</v>
      </c>
      <c r="I191">
        <f t="shared" si="5"/>
        <v>0</v>
      </c>
      <c r="J191">
        <f>IF(I191&gt;0, ROUND((I191 / SUM($I$2:$I$817)) * ③資金配分!$B$7, -2), 0)</f>
        <v>0</v>
      </c>
    </row>
    <row r="192" spans="1:10" x14ac:dyDescent="0.4">
      <c r="A192">
        <v>2</v>
      </c>
      <c r="B192">
        <v>7</v>
      </c>
      <c r="C192">
        <v>8</v>
      </c>
      <c r="D192">
        <f>IFERROR(IF(_xlfn.XLOOKUP(A192, ①オッズ入力!$A$2:$A$19, ①オッズ入力!$D$2:$D$19, "")="", 0, _xlfn.XLOOKUP(A192, ①オッズ入力!$A$2:$A$19, ①オッズ入力!$D$2:$D$19, 0)), 0)</f>
        <v>0.19850014668353391</v>
      </c>
      <c r="E192">
        <f>IFERROR(IF(_xlfn.XLOOKUP(B192, ①オッズ入力!$A$2:$A$19, ①オッズ入力!$D$2:$D$19, "")="", 0, _xlfn.XLOOKUP(B192, ①オッズ入力!$A$2:$A$19, ①オッズ入力!$D$2:$D$19, 0)), 0)</f>
        <v>2.9775022002530085E-2</v>
      </c>
      <c r="F192">
        <f>IFERROR(IF(_xlfn.XLOOKUP(C192, ①オッズ入力!$A$2:$A$19, ①オッズ入力!$D$2:$D$19, "")="", 0, _xlfn.XLOOKUP(C192, ①オッズ入力!$A$2:$A$19, ①オッズ入力!$D$2:$D$19, 0)), 0)</f>
        <v>2.3820017602024068E-2</v>
      </c>
      <c r="G192">
        <f t="shared" si="4"/>
        <v>7103.0520777820002</v>
      </c>
      <c r="H192">
        <f>IF(G192="", 0, IF(OR(A192=③資金配分!$D$1, A192=③資金配分!$D$2, B192=③資金配分!$D$1, B192=③資金配分!$D$2, C192=③資金配分!$D$1, C192=③資金配分!$D$2), 0, IF(OR(A192=③資金配分!$D$4, A192=③資金配分!$D$5, A192=③資金配分!$D$6, B192=③資金配分!$D$4, B192=③資金配分!$D$5, B192=③資金配分!$D$6, C192=③資金配分!$D$4, C192=③資金配分!$D$5, C192=③資金配分!$D$6), 0, IF(AND(③資金配分!$B$8&gt;0, G192&lt;=③資金配分!$B$8), 1, 0))))</f>
        <v>0</v>
      </c>
      <c r="I192">
        <f t="shared" si="5"/>
        <v>0</v>
      </c>
      <c r="J192">
        <f>IF(I192&gt;0, ROUND((I192 / SUM($I$2:$I$817)) * ③資金配分!$B$7, -2), 0)</f>
        <v>0</v>
      </c>
    </row>
    <row r="193" spans="1:10" x14ac:dyDescent="0.4">
      <c r="A193">
        <v>2</v>
      </c>
      <c r="B193">
        <v>7</v>
      </c>
      <c r="C193">
        <v>9</v>
      </c>
      <c r="D193">
        <f>IFERROR(IF(_xlfn.XLOOKUP(A193, ①オッズ入力!$A$2:$A$19, ①オッズ入力!$D$2:$D$19, "")="", 0, _xlfn.XLOOKUP(A193, ①オッズ入力!$A$2:$A$19, ①オッズ入力!$D$2:$D$19, 0)), 0)</f>
        <v>0.19850014668353391</v>
      </c>
      <c r="E193">
        <f>IFERROR(IF(_xlfn.XLOOKUP(B193, ①オッズ入力!$A$2:$A$19, ①オッズ入力!$D$2:$D$19, "")="", 0, _xlfn.XLOOKUP(B193, ①オッズ入力!$A$2:$A$19, ①オッズ入力!$D$2:$D$19, 0)), 0)</f>
        <v>2.9775022002530085E-2</v>
      </c>
      <c r="F193">
        <f>IFERROR(IF(_xlfn.XLOOKUP(C193, ①オッズ入力!$A$2:$A$19, ①オッズ入力!$D$2:$D$19, "")="", 0, _xlfn.XLOOKUP(C193, ①オッズ入力!$A$2:$A$19, ①オッズ入力!$D$2:$D$19, 0)), 0)</f>
        <v>1.9850014668353389E-2</v>
      </c>
      <c r="G193">
        <f t="shared" si="4"/>
        <v>8523.662493338401</v>
      </c>
      <c r="H193">
        <f>IF(G193="", 0, IF(OR(A193=③資金配分!$D$1, A193=③資金配分!$D$2, B193=③資金配分!$D$1, B193=③資金配分!$D$2, C193=③資金配分!$D$1, C193=③資金配分!$D$2), 0, IF(OR(A193=③資金配分!$D$4, A193=③資金配分!$D$5, A193=③資金配分!$D$6, B193=③資金配分!$D$4, B193=③資金配分!$D$5, B193=③資金配分!$D$6, C193=③資金配分!$D$4, C193=③資金配分!$D$5, C193=③資金配分!$D$6), 0, IF(AND(③資金配分!$B$8&gt;0, G193&lt;=③資金配分!$B$8), 1, 0))))</f>
        <v>0</v>
      </c>
      <c r="I193">
        <f t="shared" si="5"/>
        <v>0</v>
      </c>
      <c r="J193">
        <f>IF(I193&gt;0, ROUND((I193 / SUM($I$2:$I$817)) * ③資金配分!$B$7, -2), 0)</f>
        <v>0</v>
      </c>
    </row>
    <row r="194" spans="1:10" x14ac:dyDescent="0.4">
      <c r="A194">
        <v>2</v>
      </c>
      <c r="B194">
        <v>7</v>
      </c>
      <c r="C194">
        <v>10</v>
      </c>
      <c r="D194">
        <f>IFERROR(IF(_xlfn.XLOOKUP(A194, ①オッズ入力!$A$2:$A$19, ①オッズ入力!$D$2:$D$19, "")="", 0, _xlfn.XLOOKUP(A194, ①オッズ入力!$A$2:$A$19, ①オッズ入力!$D$2:$D$19, 0)), 0)</f>
        <v>0.19850014668353391</v>
      </c>
      <c r="E194">
        <f>IFERROR(IF(_xlfn.XLOOKUP(B194, ①オッズ入力!$A$2:$A$19, ①オッズ入力!$D$2:$D$19, "")="", 0, _xlfn.XLOOKUP(B194, ①オッズ入力!$A$2:$A$19, ①オッズ入力!$D$2:$D$19, 0)), 0)</f>
        <v>2.9775022002530085E-2</v>
      </c>
      <c r="F194">
        <f>IFERROR(IF(_xlfn.XLOOKUP(C194, ①オッズ入力!$A$2:$A$19, ①オッズ入力!$D$2:$D$19, "")="", 0, _xlfn.XLOOKUP(C194, ①オッズ入力!$A$2:$A$19, ①オッズ入力!$D$2:$D$19, 0)), 0)</f>
        <v>1.7865013201518051E-2</v>
      </c>
      <c r="G194">
        <f t="shared" si="4"/>
        <v>9470.7361037093324</v>
      </c>
      <c r="H194">
        <f>IF(G194="", 0, IF(OR(A194=③資金配分!$D$1, A194=③資金配分!$D$2, B194=③資金配分!$D$1, B194=③資金配分!$D$2, C194=③資金配分!$D$1, C194=③資金配分!$D$2), 0, IF(OR(A194=③資金配分!$D$4, A194=③資金配分!$D$5, A194=③資金配分!$D$6, B194=③資金配分!$D$4, B194=③資金配分!$D$5, B194=③資金配分!$D$6, C194=③資金配分!$D$4, C194=③資金配分!$D$5, C194=③資金配分!$D$6), 0, IF(AND(③資金配分!$B$8&gt;0, G194&lt;=③資金配分!$B$8), 1, 0))))</f>
        <v>0</v>
      </c>
      <c r="I194">
        <f t="shared" si="5"/>
        <v>0</v>
      </c>
      <c r="J194">
        <f>IF(I194&gt;0, ROUND((I194 / SUM($I$2:$I$817)) * ③資金配分!$B$7, -2), 0)</f>
        <v>0</v>
      </c>
    </row>
    <row r="195" spans="1:10" x14ac:dyDescent="0.4">
      <c r="A195">
        <v>2</v>
      </c>
      <c r="B195">
        <v>7</v>
      </c>
      <c r="C195">
        <v>11</v>
      </c>
      <c r="D195">
        <f>IFERROR(IF(_xlfn.XLOOKUP(A195, ①オッズ入力!$A$2:$A$19, ①オッズ入力!$D$2:$D$19, "")="", 0, _xlfn.XLOOKUP(A195, ①オッズ入力!$A$2:$A$19, ①オッズ入力!$D$2:$D$19, 0)), 0)</f>
        <v>0.19850014668353391</v>
      </c>
      <c r="E195">
        <f>IFERROR(IF(_xlfn.XLOOKUP(B195, ①オッズ入力!$A$2:$A$19, ①オッズ入力!$D$2:$D$19, "")="", 0, _xlfn.XLOOKUP(B195, ①オッズ入力!$A$2:$A$19, ①オッズ入力!$D$2:$D$19, 0)), 0)</f>
        <v>2.9775022002530085E-2</v>
      </c>
      <c r="F195">
        <f>IFERROR(IF(_xlfn.XLOOKUP(C195, ①オッズ入力!$A$2:$A$19, ①オッズ入力!$D$2:$D$19, "")="", 0, _xlfn.XLOOKUP(C195, ①オッズ入力!$A$2:$A$19, ①オッズ入力!$D$2:$D$19, 0)), 0)</f>
        <v>1.6240921092289137E-2</v>
      </c>
      <c r="G195">
        <f t="shared" ref="G195:G258" si="6">IF(OR(D195=0, E195=0, F195=0), "", 1/(D195*E195*F195))</f>
        <v>10417.809714080267</v>
      </c>
      <c r="H195">
        <f>IF(G195="", 0, IF(OR(A195=③資金配分!$D$1, A195=③資金配分!$D$2, B195=③資金配分!$D$1, B195=③資金配分!$D$2, C195=③資金配分!$D$1, C195=③資金配分!$D$2), 0, IF(OR(A195=③資金配分!$D$4, A195=③資金配分!$D$5, A195=③資金配分!$D$6, B195=③資金配分!$D$4, B195=③資金配分!$D$5, B195=③資金配分!$D$6, C195=③資金配分!$D$4, C195=③資金配分!$D$5, C195=③資金配分!$D$6), 0, IF(AND(③資金配分!$B$8&gt;0, G195&lt;=③資金配分!$B$8), 1, 0))))</f>
        <v>0</v>
      </c>
      <c r="I195">
        <f t="shared" ref="I195:I258" si="7">IF(H195=1, 1/G195, 0)</f>
        <v>0</v>
      </c>
      <c r="J195">
        <f>IF(I195&gt;0, ROUND((I195 / SUM($I$2:$I$817)) * ③資金配分!$B$7, -2), 0)</f>
        <v>0</v>
      </c>
    </row>
    <row r="196" spans="1:10" x14ac:dyDescent="0.4">
      <c r="A196">
        <v>2</v>
      </c>
      <c r="B196">
        <v>7</v>
      </c>
      <c r="C196">
        <v>12</v>
      </c>
      <c r="D196">
        <f>IFERROR(IF(_xlfn.XLOOKUP(A196, ①オッズ入力!$A$2:$A$19, ①オッズ入力!$D$2:$D$19, "")="", 0, _xlfn.XLOOKUP(A196, ①オッズ入力!$A$2:$A$19, ①オッズ入力!$D$2:$D$19, 0)), 0)</f>
        <v>0.19850014668353391</v>
      </c>
      <c r="E196">
        <f>IFERROR(IF(_xlfn.XLOOKUP(B196, ①オッズ入力!$A$2:$A$19, ①オッズ入力!$D$2:$D$19, "")="", 0, _xlfn.XLOOKUP(B196, ①オッズ入力!$A$2:$A$19, ①オッズ入力!$D$2:$D$19, 0)), 0)</f>
        <v>2.9775022002530085E-2</v>
      </c>
      <c r="F196">
        <f>IFERROR(IF(_xlfn.XLOOKUP(C196, ①オッズ入力!$A$2:$A$19, ①オッズ入力!$D$2:$D$19, "")="", 0, _xlfn.XLOOKUP(C196, ①オッズ入力!$A$2:$A$19, ①オッズ入力!$D$2:$D$19, 0)), 0)</f>
        <v>1.4887511001265043E-2</v>
      </c>
      <c r="G196">
        <f t="shared" si="6"/>
        <v>11364.883324451201</v>
      </c>
      <c r="H196">
        <f>IF(G196="", 0, IF(OR(A196=③資金配分!$D$1, A196=③資金配分!$D$2, B196=③資金配分!$D$1, B196=③資金配分!$D$2, C196=③資金配分!$D$1, C196=③資金配分!$D$2), 0, IF(OR(A196=③資金配分!$D$4, A196=③資金配分!$D$5, A196=③資金配分!$D$6, B196=③資金配分!$D$4, B196=③資金配分!$D$5, B196=③資金配分!$D$6, C196=③資金配分!$D$4, C196=③資金配分!$D$5, C196=③資金配分!$D$6), 0, IF(AND(③資金配分!$B$8&gt;0, G196&lt;=③資金配分!$B$8), 1, 0))))</f>
        <v>0</v>
      </c>
      <c r="I196">
        <f t="shared" si="7"/>
        <v>0</v>
      </c>
      <c r="J196">
        <f>IF(I196&gt;0, ROUND((I196 / SUM($I$2:$I$817)) * ③資金配分!$B$7, -2), 0)</f>
        <v>0</v>
      </c>
    </row>
    <row r="197" spans="1:10" x14ac:dyDescent="0.4">
      <c r="A197">
        <v>2</v>
      </c>
      <c r="B197">
        <v>7</v>
      </c>
      <c r="C197">
        <v>13</v>
      </c>
      <c r="D197">
        <f>IFERROR(IF(_xlfn.XLOOKUP(A197, ①オッズ入力!$A$2:$A$19, ①オッズ入力!$D$2:$D$19, "")="", 0, _xlfn.XLOOKUP(A197, ①オッズ入力!$A$2:$A$19, ①オッズ入力!$D$2:$D$19, 0)), 0)</f>
        <v>0.19850014668353391</v>
      </c>
      <c r="E197">
        <f>IFERROR(IF(_xlfn.XLOOKUP(B197, ①オッズ入力!$A$2:$A$19, ①オッズ入力!$D$2:$D$19, "")="", 0, _xlfn.XLOOKUP(B197, ①オッズ入力!$A$2:$A$19, ①オッズ入力!$D$2:$D$19, 0)), 0)</f>
        <v>2.9775022002530085E-2</v>
      </c>
      <c r="F197">
        <f>IFERROR(IF(_xlfn.XLOOKUP(C197, ①オッズ入力!$A$2:$A$19, ①オッズ入力!$D$2:$D$19, "")="", 0, _xlfn.XLOOKUP(C197, ①オッズ入力!$A$2:$A$19, ①オッズ入力!$D$2:$D$19, 0)), 0)</f>
        <v>1.2760723715370036E-2</v>
      </c>
      <c r="G197">
        <f t="shared" si="6"/>
        <v>13259.030545193067</v>
      </c>
      <c r="H197">
        <f>IF(G197="", 0, IF(OR(A197=③資金配分!$D$1, A197=③資金配分!$D$2, B197=③資金配分!$D$1, B197=③資金配分!$D$2, C197=③資金配分!$D$1, C197=③資金配分!$D$2), 0, IF(OR(A197=③資金配分!$D$4, A197=③資金配分!$D$5, A197=③資金配分!$D$6, B197=③資金配分!$D$4, B197=③資金配分!$D$5, B197=③資金配分!$D$6, C197=③資金配分!$D$4, C197=③資金配分!$D$5, C197=③資金配分!$D$6), 0, IF(AND(③資金配分!$B$8&gt;0, G197&lt;=③資金配分!$B$8), 1, 0))))</f>
        <v>0</v>
      </c>
      <c r="I197">
        <f t="shared" si="7"/>
        <v>0</v>
      </c>
      <c r="J197">
        <f>IF(I197&gt;0, ROUND((I197 / SUM($I$2:$I$817)) * ③資金配分!$B$7, -2), 0)</f>
        <v>0</v>
      </c>
    </row>
    <row r="198" spans="1:10" x14ac:dyDescent="0.4">
      <c r="A198">
        <v>2</v>
      </c>
      <c r="B198">
        <v>7</v>
      </c>
      <c r="C198">
        <v>14</v>
      </c>
      <c r="D198">
        <f>IFERROR(IF(_xlfn.XLOOKUP(A198, ①オッズ入力!$A$2:$A$19, ①オッズ入力!$D$2:$D$19, "")="", 0, _xlfn.XLOOKUP(A198, ①オッズ入力!$A$2:$A$19, ①オッズ入力!$D$2:$D$19, 0)), 0)</f>
        <v>0.19850014668353391</v>
      </c>
      <c r="E198">
        <f>IFERROR(IF(_xlfn.XLOOKUP(B198, ①オッズ入力!$A$2:$A$19, ①オッズ入力!$D$2:$D$19, "")="", 0, _xlfn.XLOOKUP(B198, ①オッズ入力!$A$2:$A$19, ①オッズ入力!$D$2:$D$19, 0)), 0)</f>
        <v>2.9775022002530085E-2</v>
      </c>
      <c r="F198">
        <f>IFERROR(IF(_xlfn.XLOOKUP(C198, ①オッズ入力!$A$2:$A$19, ①オッズ入力!$D$2:$D$19, "")="", 0, _xlfn.XLOOKUP(C198, ①オッズ入力!$A$2:$A$19, ①オッズ入力!$D$2:$D$19, 0)), 0)</f>
        <v>1.1525814968721322E-2</v>
      </c>
      <c r="G198">
        <f t="shared" si="6"/>
        <v>14679.64096074947</v>
      </c>
      <c r="H198">
        <f>IF(G198="", 0, IF(OR(A198=③資金配分!$D$1, A198=③資金配分!$D$2, B198=③資金配分!$D$1, B198=③資金配分!$D$2, C198=③資金配分!$D$1, C198=③資金配分!$D$2), 0, IF(OR(A198=③資金配分!$D$4, A198=③資金配分!$D$5, A198=③資金配分!$D$6, B198=③資金配分!$D$4, B198=③資金配分!$D$5, B198=③資金配分!$D$6, C198=③資金配分!$D$4, C198=③資金配分!$D$5, C198=③資金配分!$D$6), 0, IF(AND(③資金配分!$B$8&gt;0, G198&lt;=③資金配分!$B$8), 1, 0))))</f>
        <v>0</v>
      </c>
      <c r="I198">
        <f t="shared" si="7"/>
        <v>0</v>
      </c>
      <c r="J198">
        <f>IF(I198&gt;0, ROUND((I198 / SUM($I$2:$I$817)) * ③資金配分!$B$7, -2), 0)</f>
        <v>0</v>
      </c>
    </row>
    <row r="199" spans="1:10" x14ac:dyDescent="0.4">
      <c r="A199">
        <v>2</v>
      </c>
      <c r="B199">
        <v>7</v>
      </c>
      <c r="C199">
        <v>15</v>
      </c>
      <c r="D199">
        <f>IFERROR(IF(_xlfn.XLOOKUP(A199, ①オッズ入力!$A$2:$A$19, ①オッズ入力!$D$2:$D$19, "")="", 0, _xlfn.XLOOKUP(A199, ①オッズ入力!$A$2:$A$19, ①オッズ入力!$D$2:$D$19, 0)), 0)</f>
        <v>0.19850014668353391</v>
      </c>
      <c r="E199">
        <f>IFERROR(IF(_xlfn.XLOOKUP(B199, ①オッズ入力!$A$2:$A$19, ①オッズ入力!$D$2:$D$19, "")="", 0, _xlfn.XLOOKUP(B199, ①オッズ入力!$A$2:$A$19, ①オッズ入力!$D$2:$D$19, 0)), 0)</f>
        <v>2.9775022002530085E-2</v>
      </c>
      <c r="F199">
        <f>IFERROR(IF(_xlfn.XLOOKUP(C199, ①オッズ入力!$A$2:$A$19, ①オッズ入力!$D$2:$D$19, "")="", 0, _xlfn.XLOOKUP(C199, ①オッズ入力!$A$2:$A$19, ①オッズ入力!$D$2:$D$19, 0)), 0)</f>
        <v>1.0697612695519792E-2</v>
      </c>
      <c r="G199">
        <f t="shared" si="6"/>
        <v>15816.129293194588</v>
      </c>
      <c r="H199">
        <f>IF(G199="", 0, IF(OR(A199=③資金配分!$D$1, A199=③資金配分!$D$2, B199=③資金配分!$D$1, B199=③資金配分!$D$2, C199=③資金配分!$D$1, C199=③資金配分!$D$2), 0, IF(OR(A199=③資金配分!$D$4, A199=③資金配分!$D$5, A199=③資金配分!$D$6, B199=③資金配分!$D$4, B199=③資金配分!$D$5, B199=③資金配分!$D$6, C199=③資金配分!$D$4, C199=③資金配分!$D$5, C199=③資金配分!$D$6), 0, IF(AND(③資金配分!$B$8&gt;0, G199&lt;=③資金配分!$B$8), 1, 0))))</f>
        <v>0</v>
      </c>
      <c r="I199">
        <f t="shared" si="7"/>
        <v>0</v>
      </c>
      <c r="J199">
        <f>IF(I199&gt;0, ROUND((I199 / SUM($I$2:$I$817)) * ③資金配分!$B$7, -2), 0)</f>
        <v>0</v>
      </c>
    </row>
    <row r="200" spans="1:10" x14ac:dyDescent="0.4">
      <c r="A200">
        <v>2</v>
      </c>
      <c r="B200">
        <v>7</v>
      </c>
      <c r="C200">
        <v>16</v>
      </c>
      <c r="D200">
        <f>IFERROR(IF(_xlfn.XLOOKUP(A200, ①オッズ入力!$A$2:$A$19, ①オッズ入力!$D$2:$D$19, "")="", 0, _xlfn.XLOOKUP(A200, ①オッズ入力!$A$2:$A$19, ①オッズ入力!$D$2:$D$19, 0)), 0)</f>
        <v>0.19850014668353391</v>
      </c>
      <c r="E200">
        <f>IFERROR(IF(_xlfn.XLOOKUP(B200, ①オッズ入力!$A$2:$A$19, ①オッズ入力!$D$2:$D$19, "")="", 0, _xlfn.XLOOKUP(B200, ①オッズ入力!$A$2:$A$19, ①オッズ入力!$D$2:$D$19, 0)), 0)</f>
        <v>2.9775022002530085E-2</v>
      </c>
      <c r="F200">
        <f>IFERROR(IF(_xlfn.XLOOKUP(C200, ①オッズ入力!$A$2:$A$19, ①オッズ入力!$D$2:$D$19, "")="", 0, _xlfn.XLOOKUP(C200, ①オッズ入力!$A$2:$A$19, ①オッズ入力!$D$2:$D$19, 0)), 0)</f>
        <v>9.8701730395127345E-3</v>
      </c>
      <c r="G200">
        <f t="shared" si="6"/>
        <v>17142.032347713895</v>
      </c>
      <c r="H200">
        <f>IF(G200="", 0, IF(OR(A200=③資金配分!$D$1, A200=③資金配分!$D$2, B200=③資金配分!$D$1, B200=③資金配分!$D$2, C200=③資金配分!$D$1, C200=③資金配分!$D$2), 0, IF(OR(A200=③資金配分!$D$4, A200=③資金配分!$D$5, A200=③資金配分!$D$6, B200=③資金配分!$D$4, B200=③資金配分!$D$5, B200=③資金配分!$D$6, C200=③資金配分!$D$4, C200=③資金配分!$D$5, C200=③資金配分!$D$6), 0, IF(AND(③資金配分!$B$8&gt;0, G200&lt;=③資金配分!$B$8), 1, 0))))</f>
        <v>0</v>
      </c>
      <c r="I200">
        <f t="shared" si="7"/>
        <v>0</v>
      </c>
      <c r="J200">
        <f>IF(I200&gt;0, ROUND((I200 / SUM($I$2:$I$817)) * ③資金配分!$B$7, -2), 0)</f>
        <v>0</v>
      </c>
    </row>
    <row r="201" spans="1:10" x14ac:dyDescent="0.4">
      <c r="A201">
        <v>2</v>
      </c>
      <c r="B201">
        <v>7</v>
      </c>
      <c r="C201">
        <v>17</v>
      </c>
      <c r="D201">
        <f>IFERROR(IF(_xlfn.XLOOKUP(A201, ①オッズ入力!$A$2:$A$19, ①オッズ入力!$D$2:$D$19, "")="", 0, _xlfn.XLOOKUP(A201, ①オッズ入力!$A$2:$A$19, ①オッズ入力!$D$2:$D$19, 0)), 0)</f>
        <v>0.19850014668353391</v>
      </c>
      <c r="E201">
        <f>IFERROR(IF(_xlfn.XLOOKUP(B201, ①オッズ入力!$A$2:$A$19, ①オッズ入力!$D$2:$D$19, "")="", 0, _xlfn.XLOOKUP(B201, ①オッズ入力!$A$2:$A$19, ①オッズ入力!$D$2:$D$19, 0)), 0)</f>
        <v>2.9775022002530085E-2</v>
      </c>
      <c r="F201">
        <f>IFERROR(IF(_xlfn.XLOOKUP(C201, ①オッズ入力!$A$2:$A$19, ①オッズ入力!$D$2:$D$19, "")="", 0, _xlfn.XLOOKUP(C201, ①オッズ入力!$A$2:$A$19, ①オッズ入力!$D$2:$D$19, 0)), 0)</f>
        <v>9.1615452315477186E-3</v>
      </c>
      <c r="G201">
        <f t="shared" si="6"/>
        <v>18467.935402233201</v>
      </c>
      <c r="H201">
        <f>IF(G201="", 0, IF(OR(A201=③資金配分!$D$1, A201=③資金配分!$D$2, B201=③資金配分!$D$1, B201=③資金配分!$D$2, C201=③資金配分!$D$1, C201=③資金配分!$D$2), 0, IF(OR(A201=③資金配分!$D$4, A201=③資金配分!$D$5, A201=③資金配分!$D$6, B201=③資金配分!$D$4, B201=③資金配分!$D$5, B201=③資金配分!$D$6, C201=③資金配分!$D$4, C201=③資金配分!$D$5, C201=③資金配分!$D$6), 0, IF(AND(③資金配分!$B$8&gt;0, G201&lt;=③資金配分!$B$8), 1, 0))))</f>
        <v>0</v>
      </c>
      <c r="I201">
        <f t="shared" si="7"/>
        <v>0</v>
      </c>
      <c r="J201">
        <f>IF(I201&gt;0, ROUND((I201 / SUM($I$2:$I$817)) * ③資金配分!$B$7, -2), 0)</f>
        <v>0</v>
      </c>
    </row>
    <row r="202" spans="1:10" x14ac:dyDescent="0.4">
      <c r="A202">
        <v>2</v>
      </c>
      <c r="B202">
        <v>7</v>
      </c>
      <c r="C202">
        <v>18</v>
      </c>
      <c r="D202">
        <f>IFERROR(IF(_xlfn.XLOOKUP(A202, ①オッズ入力!$A$2:$A$19, ①オッズ入力!$D$2:$D$19, "")="", 0, _xlfn.XLOOKUP(A202, ①オッズ入力!$A$2:$A$19, ①オッズ入力!$D$2:$D$19, 0)), 0)</f>
        <v>0.19850014668353391</v>
      </c>
      <c r="E202">
        <f>IFERROR(IF(_xlfn.XLOOKUP(B202, ①オッズ入力!$A$2:$A$19, ①オッズ入力!$D$2:$D$19, "")="", 0, _xlfn.XLOOKUP(B202, ①オッズ入力!$A$2:$A$19, ①オッズ入力!$D$2:$D$19, 0)), 0)</f>
        <v>2.9775022002530085E-2</v>
      </c>
      <c r="F202">
        <f>IFERROR(IF(_xlfn.XLOOKUP(C202, ①オッズ入力!$A$2:$A$19, ①オッズ入力!$D$2:$D$19, "")="", 0, _xlfn.XLOOKUP(C202, ①オッズ入力!$A$2:$A$19, ①オッズ入力!$D$2:$D$19, 0)), 0)</f>
        <v>8.5478532064679671E-3</v>
      </c>
      <c r="G202">
        <f t="shared" si="6"/>
        <v>19793.838456752506</v>
      </c>
      <c r="H202">
        <f>IF(G202="", 0, IF(OR(A202=③資金配分!$D$1, A202=③資金配分!$D$2, B202=③資金配分!$D$1, B202=③資金配分!$D$2, C202=③資金配分!$D$1, C202=③資金配分!$D$2), 0, IF(OR(A202=③資金配分!$D$4, A202=③資金配分!$D$5, A202=③資金配分!$D$6, B202=③資金配分!$D$4, B202=③資金配分!$D$5, B202=③資金配分!$D$6, C202=③資金配分!$D$4, C202=③資金配分!$D$5, C202=③資金配分!$D$6), 0, IF(AND(③資金配分!$B$8&gt;0, G202&lt;=③資金配分!$B$8), 1, 0))))</f>
        <v>0</v>
      </c>
      <c r="I202">
        <f t="shared" si="7"/>
        <v>0</v>
      </c>
      <c r="J202">
        <f>IF(I202&gt;0, ROUND((I202 / SUM($I$2:$I$817)) * ③資金配分!$B$7, -2), 0)</f>
        <v>0</v>
      </c>
    </row>
    <row r="203" spans="1:10" x14ac:dyDescent="0.4">
      <c r="A203">
        <v>2</v>
      </c>
      <c r="B203">
        <v>8</v>
      </c>
      <c r="C203">
        <v>9</v>
      </c>
      <c r="D203">
        <f>IFERROR(IF(_xlfn.XLOOKUP(A203, ①オッズ入力!$A$2:$A$19, ①オッズ入力!$D$2:$D$19, "")="", 0, _xlfn.XLOOKUP(A203, ①オッズ入力!$A$2:$A$19, ①オッズ入力!$D$2:$D$19, 0)), 0)</f>
        <v>0.19850014668353391</v>
      </c>
      <c r="E203">
        <f>IFERROR(IF(_xlfn.XLOOKUP(B203, ①オッズ入力!$A$2:$A$19, ①オッズ入力!$D$2:$D$19, "")="", 0, _xlfn.XLOOKUP(B203, ①オッズ入力!$A$2:$A$19, ①オッズ入力!$D$2:$D$19, 0)), 0)</f>
        <v>2.3820017602024068E-2</v>
      </c>
      <c r="F203">
        <f>IFERROR(IF(_xlfn.XLOOKUP(C203, ①オッズ入力!$A$2:$A$19, ①オッズ入力!$D$2:$D$19, "")="", 0, _xlfn.XLOOKUP(C203, ①オッズ入力!$A$2:$A$19, ①オッズ入力!$D$2:$D$19, 0)), 0)</f>
        <v>1.9850014668353389E-2</v>
      </c>
      <c r="G203">
        <f t="shared" si="6"/>
        <v>10654.578116673001</v>
      </c>
      <c r="H203">
        <f>IF(G203="", 0, IF(OR(A203=③資金配分!$D$1, A203=③資金配分!$D$2, B203=③資金配分!$D$1, B203=③資金配分!$D$2, C203=③資金配分!$D$1, C203=③資金配分!$D$2), 0, IF(OR(A203=③資金配分!$D$4, A203=③資金配分!$D$5, A203=③資金配分!$D$6, B203=③資金配分!$D$4, B203=③資金配分!$D$5, B203=③資金配分!$D$6, C203=③資金配分!$D$4, C203=③資金配分!$D$5, C203=③資金配分!$D$6), 0, IF(AND(③資金配分!$B$8&gt;0, G203&lt;=③資金配分!$B$8), 1, 0))))</f>
        <v>0</v>
      </c>
      <c r="I203">
        <f t="shared" si="7"/>
        <v>0</v>
      </c>
      <c r="J203">
        <f>IF(I203&gt;0, ROUND((I203 / SUM($I$2:$I$817)) * ③資金配分!$B$7, -2), 0)</f>
        <v>0</v>
      </c>
    </row>
    <row r="204" spans="1:10" x14ac:dyDescent="0.4">
      <c r="A204">
        <v>2</v>
      </c>
      <c r="B204">
        <v>8</v>
      </c>
      <c r="C204">
        <v>10</v>
      </c>
      <c r="D204">
        <f>IFERROR(IF(_xlfn.XLOOKUP(A204, ①オッズ入力!$A$2:$A$19, ①オッズ入力!$D$2:$D$19, "")="", 0, _xlfn.XLOOKUP(A204, ①オッズ入力!$A$2:$A$19, ①オッズ入力!$D$2:$D$19, 0)), 0)</f>
        <v>0.19850014668353391</v>
      </c>
      <c r="E204">
        <f>IFERROR(IF(_xlfn.XLOOKUP(B204, ①オッズ入力!$A$2:$A$19, ①オッズ入力!$D$2:$D$19, "")="", 0, _xlfn.XLOOKUP(B204, ①オッズ入力!$A$2:$A$19, ①オッズ入力!$D$2:$D$19, 0)), 0)</f>
        <v>2.3820017602024068E-2</v>
      </c>
      <c r="F204">
        <f>IFERROR(IF(_xlfn.XLOOKUP(C204, ①オッズ入力!$A$2:$A$19, ①オッズ入力!$D$2:$D$19, "")="", 0, _xlfn.XLOOKUP(C204, ①オッズ入力!$A$2:$A$19, ①オッズ入力!$D$2:$D$19, 0)), 0)</f>
        <v>1.7865013201518051E-2</v>
      </c>
      <c r="G204">
        <f t="shared" si="6"/>
        <v>11838.420129636668</v>
      </c>
      <c r="H204">
        <f>IF(G204="", 0, IF(OR(A204=③資金配分!$D$1, A204=③資金配分!$D$2, B204=③資金配分!$D$1, B204=③資金配分!$D$2, C204=③資金配分!$D$1, C204=③資金配分!$D$2), 0, IF(OR(A204=③資金配分!$D$4, A204=③資金配分!$D$5, A204=③資金配分!$D$6, B204=③資金配分!$D$4, B204=③資金配分!$D$5, B204=③資金配分!$D$6, C204=③資金配分!$D$4, C204=③資金配分!$D$5, C204=③資金配分!$D$6), 0, IF(AND(③資金配分!$B$8&gt;0, G204&lt;=③資金配分!$B$8), 1, 0))))</f>
        <v>0</v>
      </c>
      <c r="I204">
        <f t="shared" si="7"/>
        <v>0</v>
      </c>
      <c r="J204">
        <f>IF(I204&gt;0, ROUND((I204 / SUM($I$2:$I$817)) * ③資金配分!$B$7, -2), 0)</f>
        <v>0</v>
      </c>
    </row>
    <row r="205" spans="1:10" x14ac:dyDescent="0.4">
      <c r="A205">
        <v>2</v>
      </c>
      <c r="B205">
        <v>8</v>
      </c>
      <c r="C205">
        <v>11</v>
      </c>
      <c r="D205">
        <f>IFERROR(IF(_xlfn.XLOOKUP(A205, ①オッズ入力!$A$2:$A$19, ①オッズ入力!$D$2:$D$19, "")="", 0, _xlfn.XLOOKUP(A205, ①オッズ入力!$A$2:$A$19, ①オッズ入力!$D$2:$D$19, 0)), 0)</f>
        <v>0.19850014668353391</v>
      </c>
      <c r="E205">
        <f>IFERROR(IF(_xlfn.XLOOKUP(B205, ①オッズ入力!$A$2:$A$19, ①オッズ入力!$D$2:$D$19, "")="", 0, _xlfn.XLOOKUP(B205, ①オッズ入力!$A$2:$A$19, ①オッズ入力!$D$2:$D$19, 0)), 0)</f>
        <v>2.3820017602024068E-2</v>
      </c>
      <c r="F205">
        <f>IFERROR(IF(_xlfn.XLOOKUP(C205, ①オッズ入力!$A$2:$A$19, ①オッズ入力!$D$2:$D$19, "")="", 0, _xlfn.XLOOKUP(C205, ①オッズ入力!$A$2:$A$19, ①オッズ入力!$D$2:$D$19, 0)), 0)</f>
        <v>1.6240921092289137E-2</v>
      </c>
      <c r="G205">
        <f t="shared" si="6"/>
        <v>13022.262142600335</v>
      </c>
      <c r="H205">
        <f>IF(G205="", 0, IF(OR(A205=③資金配分!$D$1, A205=③資金配分!$D$2, B205=③資金配分!$D$1, B205=③資金配分!$D$2, C205=③資金配分!$D$1, C205=③資金配分!$D$2), 0, IF(OR(A205=③資金配分!$D$4, A205=③資金配分!$D$5, A205=③資金配分!$D$6, B205=③資金配分!$D$4, B205=③資金配分!$D$5, B205=③資金配分!$D$6, C205=③資金配分!$D$4, C205=③資金配分!$D$5, C205=③資金配分!$D$6), 0, IF(AND(③資金配分!$B$8&gt;0, G205&lt;=③資金配分!$B$8), 1, 0))))</f>
        <v>0</v>
      </c>
      <c r="I205">
        <f t="shared" si="7"/>
        <v>0</v>
      </c>
      <c r="J205">
        <f>IF(I205&gt;0, ROUND((I205 / SUM($I$2:$I$817)) * ③資金配分!$B$7, -2), 0)</f>
        <v>0</v>
      </c>
    </row>
    <row r="206" spans="1:10" x14ac:dyDescent="0.4">
      <c r="A206">
        <v>2</v>
      </c>
      <c r="B206">
        <v>8</v>
      </c>
      <c r="C206">
        <v>12</v>
      </c>
      <c r="D206">
        <f>IFERROR(IF(_xlfn.XLOOKUP(A206, ①オッズ入力!$A$2:$A$19, ①オッズ入力!$D$2:$D$19, "")="", 0, _xlfn.XLOOKUP(A206, ①オッズ入力!$A$2:$A$19, ①オッズ入力!$D$2:$D$19, 0)), 0)</f>
        <v>0.19850014668353391</v>
      </c>
      <c r="E206">
        <f>IFERROR(IF(_xlfn.XLOOKUP(B206, ①オッズ入力!$A$2:$A$19, ①オッズ入力!$D$2:$D$19, "")="", 0, _xlfn.XLOOKUP(B206, ①オッズ入力!$A$2:$A$19, ①オッズ入力!$D$2:$D$19, 0)), 0)</f>
        <v>2.3820017602024068E-2</v>
      </c>
      <c r="F206">
        <f>IFERROR(IF(_xlfn.XLOOKUP(C206, ①オッズ入力!$A$2:$A$19, ①オッズ入力!$D$2:$D$19, "")="", 0, _xlfn.XLOOKUP(C206, ①オッズ入力!$A$2:$A$19, ①オッズ入力!$D$2:$D$19, 0)), 0)</f>
        <v>1.4887511001265043E-2</v>
      </c>
      <c r="G206">
        <f t="shared" si="6"/>
        <v>14206.104155564</v>
      </c>
      <c r="H206">
        <f>IF(G206="", 0, IF(OR(A206=③資金配分!$D$1, A206=③資金配分!$D$2, B206=③資金配分!$D$1, B206=③資金配分!$D$2, C206=③資金配分!$D$1, C206=③資金配分!$D$2), 0, IF(OR(A206=③資金配分!$D$4, A206=③資金配分!$D$5, A206=③資金配分!$D$6, B206=③資金配分!$D$4, B206=③資金配分!$D$5, B206=③資金配分!$D$6, C206=③資金配分!$D$4, C206=③資金配分!$D$5, C206=③資金配分!$D$6), 0, IF(AND(③資金配分!$B$8&gt;0, G206&lt;=③資金配分!$B$8), 1, 0))))</f>
        <v>0</v>
      </c>
      <c r="I206">
        <f t="shared" si="7"/>
        <v>0</v>
      </c>
      <c r="J206">
        <f>IF(I206&gt;0, ROUND((I206 / SUM($I$2:$I$817)) * ③資金配分!$B$7, -2), 0)</f>
        <v>0</v>
      </c>
    </row>
    <row r="207" spans="1:10" x14ac:dyDescent="0.4">
      <c r="A207">
        <v>2</v>
      </c>
      <c r="B207">
        <v>8</v>
      </c>
      <c r="C207">
        <v>13</v>
      </c>
      <c r="D207">
        <f>IFERROR(IF(_xlfn.XLOOKUP(A207, ①オッズ入力!$A$2:$A$19, ①オッズ入力!$D$2:$D$19, "")="", 0, _xlfn.XLOOKUP(A207, ①オッズ入力!$A$2:$A$19, ①オッズ入力!$D$2:$D$19, 0)), 0)</f>
        <v>0.19850014668353391</v>
      </c>
      <c r="E207">
        <f>IFERROR(IF(_xlfn.XLOOKUP(B207, ①オッズ入力!$A$2:$A$19, ①オッズ入力!$D$2:$D$19, "")="", 0, _xlfn.XLOOKUP(B207, ①オッズ入力!$A$2:$A$19, ①オッズ入力!$D$2:$D$19, 0)), 0)</f>
        <v>2.3820017602024068E-2</v>
      </c>
      <c r="F207">
        <f>IFERROR(IF(_xlfn.XLOOKUP(C207, ①オッズ入力!$A$2:$A$19, ①オッズ入力!$D$2:$D$19, "")="", 0, _xlfn.XLOOKUP(C207, ①オッズ入力!$A$2:$A$19, ①オッズ入力!$D$2:$D$19, 0)), 0)</f>
        <v>1.2760723715370036E-2</v>
      </c>
      <c r="G207">
        <f t="shared" si="6"/>
        <v>16573.788181491338</v>
      </c>
      <c r="H207">
        <f>IF(G207="", 0, IF(OR(A207=③資金配分!$D$1, A207=③資金配分!$D$2, B207=③資金配分!$D$1, B207=③資金配分!$D$2, C207=③資金配分!$D$1, C207=③資金配分!$D$2), 0, IF(OR(A207=③資金配分!$D$4, A207=③資金配分!$D$5, A207=③資金配分!$D$6, B207=③資金配分!$D$4, B207=③資金配分!$D$5, B207=③資金配分!$D$6, C207=③資金配分!$D$4, C207=③資金配分!$D$5, C207=③資金配分!$D$6), 0, IF(AND(③資金配分!$B$8&gt;0, G207&lt;=③資金配分!$B$8), 1, 0))))</f>
        <v>0</v>
      </c>
      <c r="I207">
        <f t="shared" si="7"/>
        <v>0</v>
      </c>
      <c r="J207">
        <f>IF(I207&gt;0, ROUND((I207 / SUM($I$2:$I$817)) * ③資金配分!$B$7, -2), 0)</f>
        <v>0</v>
      </c>
    </row>
    <row r="208" spans="1:10" x14ac:dyDescent="0.4">
      <c r="A208">
        <v>2</v>
      </c>
      <c r="B208">
        <v>8</v>
      </c>
      <c r="C208">
        <v>14</v>
      </c>
      <c r="D208">
        <f>IFERROR(IF(_xlfn.XLOOKUP(A208, ①オッズ入力!$A$2:$A$19, ①オッズ入力!$D$2:$D$19, "")="", 0, _xlfn.XLOOKUP(A208, ①オッズ入力!$A$2:$A$19, ①オッズ入力!$D$2:$D$19, 0)), 0)</f>
        <v>0.19850014668353391</v>
      </c>
      <c r="E208">
        <f>IFERROR(IF(_xlfn.XLOOKUP(B208, ①オッズ入力!$A$2:$A$19, ①オッズ入力!$D$2:$D$19, "")="", 0, _xlfn.XLOOKUP(B208, ①オッズ入力!$A$2:$A$19, ①オッズ入力!$D$2:$D$19, 0)), 0)</f>
        <v>2.3820017602024068E-2</v>
      </c>
      <c r="F208">
        <f>IFERROR(IF(_xlfn.XLOOKUP(C208, ①オッズ入力!$A$2:$A$19, ①オッズ入力!$D$2:$D$19, "")="", 0, _xlfn.XLOOKUP(C208, ①オッズ入力!$A$2:$A$19, ①オッズ入力!$D$2:$D$19, 0)), 0)</f>
        <v>1.1525814968721322E-2</v>
      </c>
      <c r="G208">
        <f t="shared" si="6"/>
        <v>18349.551200936836</v>
      </c>
      <c r="H208">
        <f>IF(G208="", 0, IF(OR(A208=③資金配分!$D$1, A208=③資金配分!$D$2, B208=③資金配分!$D$1, B208=③資金配分!$D$2, C208=③資金配分!$D$1, C208=③資金配分!$D$2), 0, IF(OR(A208=③資金配分!$D$4, A208=③資金配分!$D$5, A208=③資金配分!$D$6, B208=③資金配分!$D$4, B208=③資金配分!$D$5, B208=③資金配分!$D$6, C208=③資金配分!$D$4, C208=③資金配分!$D$5, C208=③資金配分!$D$6), 0, IF(AND(③資金配分!$B$8&gt;0, G208&lt;=③資金配分!$B$8), 1, 0))))</f>
        <v>0</v>
      </c>
      <c r="I208">
        <f t="shared" si="7"/>
        <v>0</v>
      </c>
      <c r="J208">
        <f>IF(I208&gt;0, ROUND((I208 / SUM($I$2:$I$817)) * ③資金配分!$B$7, -2), 0)</f>
        <v>0</v>
      </c>
    </row>
    <row r="209" spans="1:10" x14ac:dyDescent="0.4">
      <c r="A209">
        <v>2</v>
      </c>
      <c r="B209">
        <v>8</v>
      </c>
      <c r="C209">
        <v>15</v>
      </c>
      <c r="D209">
        <f>IFERROR(IF(_xlfn.XLOOKUP(A209, ①オッズ入力!$A$2:$A$19, ①オッズ入力!$D$2:$D$19, "")="", 0, _xlfn.XLOOKUP(A209, ①オッズ入力!$A$2:$A$19, ①オッズ入力!$D$2:$D$19, 0)), 0)</f>
        <v>0.19850014668353391</v>
      </c>
      <c r="E209">
        <f>IFERROR(IF(_xlfn.XLOOKUP(B209, ①オッズ入力!$A$2:$A$19, ①オッズ入力!$D$2:$D$19, "")="", 0, _xlfn.XLOOKUP(B209, ①オッズ入力!$A$2:$A$19, ①オッズ入力!$D$2:$D$19, 0)), 0)</f>
        <v>2.3820017602024068E-2</v>
      </c>
      <c r="F209">
        <f>IFERROR(IF(_xlfn.XLOOKUP(C209, ①オッズ入力!$A$2:$A$19, ①オッズ入力!$D$2:$D$19, "")="", 0, _xlfn.XLOOKUP(C209, ①オッズ入力!$A$2:$A$19, ①オッズ入力!$D$2:$D$19, 0)), 0)</f>
        <v>1.0697612695519792E-2</v>
      </c>
      <c r="G209">
        <f t="shared" si="6"/>
        <v>19770.161616493235</v>
      </c>
      <c r="H209">
        <f>IF(G209="", 0, IF(OR(A209=③資金配分!$D$1, A209=③資金配分!$D$2, B209=③資金配分!$D$1, B209=③資金配分!$D$2, C209=③資金配分!$D$1, C209=③資金配分!$D$2), 0, IF(OR(A209=③資金配分!$D$4, A209=③資金配分!$D$5, A209=③資金配分!$D$6, B209=③資金配分!$D$4, B209=③資金配分!$D$5, B209=③資金配分!$D$6, C209=③資金配分!$D$4, C209=③資金配分!$D$5, C209=③資金配分!$D$6), 0, IF(AND(③資金配分!$B$8&gt;0, G209&lt;=③資金配分!$B$8), 1, 0))))</f>
        <v>0</v>
      </c>
      <c r="I209">
        <f t="shared" si="7"/>
        <v>0</v>
      </c>
      <c r="J209">
        <f>IF(I209&gt;0, ROUND((I209 / SUM($I$2:$I$817)) * ③資金配分!$B$7, -2), 0)</f>
        <v>0</v>
      </c>
    </row>
    <row r="210" spans="1:10" x14ac:dyDescent="0.4">
      <c r="A210">
        <v>2</v>
      </c>
      <c r="B210">
        <v>8</v>
      </c>
      <c r="C210">
        <v>16</v>
      </c>
      <c r="D210">
        <f>IFERROR(IF(_xlfn.XLOOKUP(A210, ①オッズ入力!$A$2:$A$19, ①オッズ入力!$D$2:$D$19, "")="", 0, _xlfn.XLOOKUP(A210, ①オッズ入力!$A$2:$A$19, ①オッズ入力!$D$2:$D$19, 0)), 0)</f>
        <v>0.19850014668353391</v>
      </c>
      <c r="E210">
        <f>IFERROR(IF(_xlfn.XLOOKUP(B210, ①オッズ入力!$A$2:$A$19, ①オッズ入力!$D$2:$D$19, "")="", 0, _xlfn.XLOOKUP(B210, ①オッズ入力!$A$2:$A$19, ①オッズ入力!$D$2:$D$19, 0)), 0)</f>
        <v>2.3820017602024068E-2</v>
      </c>
      <c r="F210">
        <f>IFERROR(IF(_xlfn.XLOOKUP(C210, ①オッズ入力!$A$2:$A$19, ①オッズ入力!$D$2:$D$19, "")="", 0, _xlfn.XLOOKUP(C210, ①オッズ入力!$A$2:$A$19, ①オッズ入力!$D$2:$D$19, 0)), 0)</f>
        <v>9.8701730395127345E-3</v>
      </c>
      <c r="G210">
        <f t="shared" si="6"/>
        <v>21427.540434642371</v>
      </c>
      <c r="H210">
        <f>IF(G210="", 0, IF(OR(A210=③資金配分!$D$1, A210=③資金配分!$D$2, B210=③資金配分!$D$1, B210=③資金配分!$D$2, C210=③資金配分!$D$1, C210=③資金配分!$D$2), 0, IF(OR(A210=③資金配分!$D$4, A210=③資金配分!$D$5, A210=③資金配分!$D$6, B210=③資金配分!$D$4, B210=③資金配分!$D$5, B210=③資金配分!$D$6, C210=③資金配分!$D$4, C210=③資金配分!$D$5, C210=③資金配分!$D$6), 0, IF(AND(③資金配分!$B$8&gt;0, G210&lt;=③資金配分!$B$8), 1, 0))))</f>
        <v>0</v>
      </c>
      <c r="I210">
        <f t="shared" si="7"/>
        <v>0</v>
      </c>
      <c r="J210">
        <f>IF(I210&gt;0, ROUND((I210 / SUM($I$2:$I$817)) * ③資金配分!$B$7, -2), 0)</f>
        <v>0</v>
      </c>
    </row>
    <row r="211" spans="1:10" x14ac:dyDescent="0.4">
      <c r="A211">
        <v>2</v>
      </c>
      <c r="B211">
        <v>8</v>
      </c>
      <c r="C211">
        <v>17</v>
      </c>
      <c r="D211">
        <f>IFERROR(IF(_xlfn.XLOOKUP(A211, ①オッズ入力!$A$2:$A$19, ①オッズ入力!$D$2:$D$19, "")="", 0, _xlfn.XLOOKUP(A211, ①オッズ入力!$A$2:$A$19, ①オッズ入力!$D$2:$D$19, 0)), 0)</f>
        <v>0.19850014668353391</v>
      </c>
      <c r="E211">
        <f>IFERROR(IF(_xlfn.XLOOKUP(B211, ①オッズ入力!$A$2:$A$19, ①オッズ入力!$D$2:$D$19, "")="", 0, _xlfn.XLOOKUP(B211, ①オッズ入力!$A$2:$A$19, ①オッズ入力!$D$2:$D$19, 0)), 0)</f>
        <v>2.3820017602024068E-2</v>
      </c>
      <c r="F211">
        <f>IFERROR(IF(_xlfn.XLOOKUP(C211, ①オッズ入力!$A$2:$A$19, ①オッズ入力!$D$2:$D$19, "")="", 0, _xlfn.XLOOKUP(C211, ①オッズ入力!$A$2:$A$19, ①オッズ入力!$D$2:$D$19, 0)), 0)</f>
        <v>9.1615452315477186E-3</v>
      </c>
      <c r="G211">
        <f t="shared" si="6"/>
        <v>23084.9192527915</v>
      </c>
      <c r="H211">
        <f>IF(G211="", 0, IF(OR(A211=③資金配分!$D$1, A211=③資金配分!$D$2, B211=③資金配分!$D$1, B211=③資金配分!$D$2, C211=③資金配分!$D$1, C211=③資金配分!$D$2), 0, IF(OR(A211=③資金配分!$D$4, A211=③資金配分!$D$5, A211=③資金配分!$D$6, B211=③資金配分!$D$4, B211=③資金配分!$D$5, B211=③資金配分!$D$6, C211=③資金配分!$D$4, C211=③資金配分!$D$5, C211=③資金配分!$D$6), 0, IF(AND(③資金配分!$B$8&gt;0, G211&lt;=③資金配分!$B$8), 1, 0))))</f>
        <v>0</v>
      </c>
      <c r="I211">
        <f t="shared" si="7"/>
        <v>0</v>
      </c>
      <c r="J211">
        <f>IF(I211&gt;0, ROUND((I211 / SUM($I$2:$I$817)) * ③資金配分!$B$7, -2), 0)</f>
        <v>0</v>
      </c>
    </row>
    <row r="212" spans="1:10" x14ac:dyDescent="0.4">
      <c r="A212">
        <v>2</v>
      </c>
      <c r="B212">
        <v>8</v>
      </c>
      <c r="C212">
        <v>18</v>
      </c>
      <c r="D212">
        <f>IFERROR(IF(_xlfn.XLOOKUP(A212, ①オッズ入力!$A$2:$A$19, ①オッズ入力!$D$2:$D$19, "")="", 0, _xlfn.XLOOKUP(A212, ①オッズ入力!$A$2:$A$19, ①オッズ入力!$D$2:$D$19, 0)), 0)</f>
        <v>0.19850014668353391</v>
      </c>
      <c r="E212">
        <f>IFERROR(IF(_xlfn.XLOOKUP(B212, ①オッズ入力!$A$2:$A$19, ①オッズ入力!$D$2:$D$19, "")="", 0, _xlfn.XLOOKUP(B212, ①オッズ入力!$A$2:$A$19, ①オッズ入力!$D$2:$D$19, 0)), 0)</f>
        <v>2.3820017602024068E-2</v>
      </c>
      <c r="F212">
        <f>IFERROR(IF(_xlfn.XLOOKUP(C212, ①オッズ入力!$A$2:$A$19, ①オッズ入力!$D$2:$D$19, "")="", 0, _xlfn.XLOOKUP(C212, ①オッズ入力!$A$2:$A$19, ①オッズ入力!$D$2:$D$19, 0)), 0)</f>
        <v>8.5478532064679671E-3</v>
      </c>
      <c r="G212">
        <f t="shared" si="6"/>
        <v>24742.298070940637</v>
      </c>
      <c r="H212">
        <f>IF(G212="", 0, IF(OR(A212=③資金配分!$D$1, A212=③資金配分!$D$2, B212=③資金配分!$D$1, B212=③資金配分!$D$2, C212=③資金配分!$D$1, C212=③資金配分!$D$2), 0, IF(OR(A212=③資金配分!$D$4, A212=③資金配分!$D$5, A212=③資金配分!$D$6, B212=③資金配分!$D$4, B212=③資金配分!$D$5, B212=③資金配分!$D$6, C212=③資金配分!$D$4, C212=③資金配分!$D$5, C212=③資金配分!$D$6), 0, IF(AND(③資金配分!$B$8&gt;0, G212&lt;=③資金配分!$B$8), 1, 0))))</f>
        <v>0</v>
      </c>
      <c r="I212">
        <f t="shared" si="7"/>
        <v>0</v>
      </c>
      <c r="J212">
        <f>IF(I212&gt;0, ROUND((I212 / SUM($I$2:$I$817)) * ③資金配分!$B$7, -2), 0)</f>
        <v>0</v>
      </c>
    </row>
    <row r="213" spans="1:10" x14ac:dyDescent="0.4">
      <c r="A213">
        <v>2</v>
      </c>
      <c r="B213">
        <v>9</v>
      </c>
      <c r="C213">
        <v>10</v>
      </c>
      <c r="D213">
        <f>IFERROR(IF(_xlfn.XLOOKUP(A213, ①オッズ入力!$A$2:$A$19, ①オッズ入力!$D$2:$D$19, "")="", 0, _xlfn.XLOOKUP(A213, ①オッズ入力!$A$2:$A$19, ①オッズ入力!$D$2:$D$19, 0)), 0)</f>
        <v>0.19850014668353391</v>
      </c>
      <c r="E213">
        <f>IFERROR(IF(_xlfn.XLOOKUP(B213, ①オッズ入力!$A$2:$A$19, ①オッズ入力!$D$2:$D$19, "")="", 0, _xlfn.XLOOKUP(B213, ①オッズ入力!$A$2:$A$19, ①オッズ入力!$D$2:$D$19, 0)), 0)</f>
        <v>1.9850014668353389E-2</v>
      </c>
      <c r="F213">
        <f>IFERROR(IF(_xlfn.XLOOKUP(C213, ①オッズ入力!$A$2:$A$19, ①オッズ入力!$D$2:$D$19, "")="", 0, _xlfn.XLOOKUP(C213, ①オッズ入力!$A$2:$A$19, ①オッズ入力!$D$2:$D$19, 0)), 0)</f>
        <v>1.7865013201518051E-2</v>
      </c>
      <c r="G213">
        <f t="shared" si="6"/>
        <v>14206.104155564004</v>
      </c>
      <c r="H213">
        <f>IF(G213="", 0, IF(OR(A213=③資金配分!$D$1, A213=③資金配分!$D$2, B213=③資金配分!$D$1, B213=③資金配分!$D$2, C213=③資金配分!$D$1, C213=③資金配分!$D$2), 0, IF(OR(A213=③資金配分!$D$4, A213=③資金配分!$D$5, A213=③資金配分!$D$6, B213=③資金配分!$D$4, B213=③資金配分!$D$5, B213=③資金配分!$D$6, C213=③資金配分!$D$4, C213=③資金配分!$D$5, C213=③資金配分!$D$6), 0, IF(AND(③資金配分!$B$8&gt;0, G213&lt;=③資金配分!$B$8), 1, 0))))</f>
        <v>0</v>
      </c>
      <c r="I213">
        <f t="shared" si="7"/>
        <v>0</v>
      </c>
      <c r="J213">
        <f>IF(I213&gt;0, ROUND((I213 / SUM($I$2:$I$817)) * ③資金配分!$B$7, -2), 0)</f>
        <v>0</v>
      </c>
    </row>
    <row r="214" spans="1:10" x14ac:dyDescent="0.4">
      <c r="A214">
        <v>2</v>
      </c>
      <c r="B214">
        <v>9</v>
      </c>
      <c r="C214">
        <v>11</v>
      </c>
      <c r="D214">
        <f>IFERROR(IF(_xlfn.XLOOKUP(A214, ①オッズ入力!$A$2:$A$19, ①オッズ入力!$D$2:$D$19, "")="", 0, _xlfn.XLOOKUP(A214, ①オッズ入力!$A$2:$A$19, ①オッズ入力!$D$2:$D$19, 0)), 0)</f>
        <v>0.19850014668353391</v>
      </c>
      <c r="E214">
        <f>IFERROR(IF(_xlfn.XLOOKUP(B214, ①オッズ入力!$A$2:$A$19, ①オッズ入力!$D$2:$D$19, "")="", 0, _xlfn.XLOOKUP(B214, ①オッズ入力!$A$2:$A$19, ①オッズ入力!$D$2:$D$19, 0)), 0)</f>
        <v>1.9850014668353389E-2</v>
      </c>
      <c r="F214">
        <f>IFERROR(IF(_xlfn.XLOOKUP(C214, ①オッズ入力!$A$2:$A$19, ①オッズ入力!$D$2:$D$19, "")="", 0, _xlfn.XLOOKUP(C214, ①オッズ入力!$A$2:$A$19, ①オッズ入力!$D$2:$D$19, 0)), 0)</f>
        <v>1.6240921092289137E-2</v>
      </c>
      <c r="G214">
        <f t="shared" si="6"/>
        <v>15626.714571120405</v>
      </c>
      <c r="H214">
        <f>IF(G214="", 0, IF(OR(A214=③資金配分!$D$1, A214=③資金配分!$D$2, B214=③資金配分!$D$1, B214=③資金配分!$D$2, C214=③資金配分!$D$1, C214=③資金配分!$D$2), 0, IF(OR(A214=③資金配分!$D$4, A214=③資金配分!$D$5, A214=③資金配分!$D$6, B214=③資金配分!$D$4, B214=③資金配分!$D$5, B214=③資金配分!$D$6, C214=③資金配分!$D$4, C214=③資金配分!$D$5, C214=③資金配分!$D$6), 0, IF(AND(③資金配分!$B$8&gt;0, G214&lt;=③資金配分!$B$8), 1, 0))))</f>
        <v>0</v>
      </c>
      <c r="I214">
        <f t="shared" si="7"/>
        <v>0</v>
      </c>
      <c r="J214">
        <f>IF(I214&gt;0, ROUND((I214 / SUM($I$2:$I$817)) * ③資金配分!$B$7, -2), 0)</f>
        <v>0</v>
      </c>
    </row>
    <row r="215" spans="1:10" x14ac:dyDescent="0.4">
      <c r="A215">
        <v>2</v>
      </c>
      <c r="B215">
        <v>9</v>
      </c>
      <c r="C215">
        <v>12</v>
      </c>
      <c r="D215">
        <f>IFERROR(IF(_xlfn.XLOOKUP(A215, ①オッズ入力!$A$2:$A$19, ①オッズ入力!$D$2:$D$19, "")="", 0, _xlfn.XLOOKUP(A215, ①オッズ入力!$A$2:$A$19, ①オッズ入力!$D$2:$D$19, 0)), 0)</f>
        <v>0.19850014668353391</v>
      </c>
      <c r="E215">
        <f>IFERROR(IF(_xlfn.XLOOKUP(B215, ①オッズ入力!$A$2:$A$19, ①オッズ入力!$D$2:$D$19, "")="", 0, _xlfn.XLOOKUP(B215, ①オッズ入力!$A$2:$A$19, ①オッズ入力!$D$2:$D$19, 0)), 0)</f>
        <v>1.9850014668353389E-2</v>
      </c>
      <c r="F215">
        <f>IFERROR(IF(_xlfn.XLOOKUP(C215, ①オッズ入力!$A$2:$A$19, ①オッズ入力!$D$2:$D$19, "")="", 0, _xlfn.XLOOKUP(C215, ①オッズ入力!$A$2:$A$19, ①オッズ入力!$D$2:$D$19, 0)), 0)</f>
        <v>1.4887511001265043E-2</v>
      </c>
      <c r="G215">
        <f t="shared" si="6"/>
        <v>17047.324986676802</v>
      </c>
      <c r="H215">
        <f>IF(G215="", 0, IF(OR(A215=③資金配分!$D$1, A215=③資金配分!$D$2, B215=③資金配分!$D$1, B215=③資金配分!$D$2, C215=③資金配分!$D$1, C215=③資金配分!$D$2), 0, IF(OR(A215=③資金配分!$D$4, A215=③資金配分!$D$5, A215=③資金配分!$D$6, B215=③資金配分!$D$4, B215=③資金配分!$D$5, B215=③資金配分!$D$6, C215=③資金配分!$D$4, C215=③資金配分!$D$5, C215=③資金配分!$D$6), 0, IF(AND(③資金配分!$B$8&gt;0, G215&lt;=③資金配分!$B$8), 1, 0))))</f>
        <v>0</v>
      </c>
      <c r="I215">
        <f t="shared" si="7"/>
        <v>0</v>
      </c>
      <c r="J215">
        <f>IF(I215&gt;0, ROUND((I215 / SUM($I$2:$I$817)) * ③資金配分!$B$7, -2), 0)</f>
        <v>0</v>
      </c>
    </row>
    <row r="216" spans="1:10" x14ac:dyDescent="0.4">
      <c r="A216">
        <v>2</v>
      </c>
      <c r="B216">
        <v>9</v>
      </c>
      <c r="C216">
        <v>13</v>
      </c>
      <c r="D216">
        <f>IFERROR(IF(_xlfn.XLOOKUP(A216, ①オッズ入力!$A$2:$A$19, ①オッズ入力!$D$2:$D$19, "")="", 0, _xlfn.XLOOKUP(A216, ①オッズ入力!$A$2:$A$19, ①オッズ入力!$D$2:$D$19, 0)), 0)</f>
        <v>0.19850014668353391</v>
      </c>
      <c r="E216">
        <f>IFERROR(IF(_xlfn.XLOOKUP(B216, ①オッズ入力!$A$2:$A$19, ①オッズ入力!$D$2:$D$19, "")="", 0, _xlfn.XLOOKUP(B216, ①オッズ入力!$A$2:$A$19, ①オッズ入力!$D$2:$D$19, 0)), 0)</f>
        <v>1.9850014668353389E-2</v>
      </c>
      <c r="F216">
        <f>IFERROR(IF(_xlfn.XLOOKUP(C216, ①オッズ入力!$A$2:$A$19, ①オッズ入力!$D$2:$D$19, "")="", 0, _xlfn.XLOOKUP(C216, ①オッズ入力!$A$2:$A$19, ①オッズ入力!$D$2:$D$19, 0)), 0)</f>
        <v>1.2760723715370036E-2</v>
      </c>
      <c r="G216">
        <f t="shared" si="6"/>
        <v>19888.545817789603</v>
      </c>
      <c r="H216">
        <f>IF(G216="", 0, IF(OR(A216=③資金配分!$D$1, A216=③資金配分!$D$2, B216=③資金配分!$D$1, B216=③資金配分!$D$2, C216=③資金配分!$D$1, C216=③資金配分!$D$2), 0, IF(OR(A216=③資金配分!$D$4, A216=③資金配分!$D$5, A216=③資金配分!$D$6, B216=③資金配分!$D$4, B216=③資金配分!$D$5, B216=③資金配分!$D$6, C216=③資金配分!$D$4, C216=③資金配分!$D$5, C216=③資金配分!$D$6), 0, IF(AND(③資金配分!$B$8&gt;0, G216&lt;=③資金配分!$B$8), 1, 0))))</f>
        <v>0</v>
      </c>
      <c r="I216">
        <f t="shared" si="7"/>
        <v>0</v>
      </c>
      <c r="J216">
        <f>IF(I216&gt;0, ROUND((I216 / SUM($I$2:$I$817)) * ③資金配分!$B$7, -2), 0)</f>
        <v>0</v>
      </c>
    </row>
    <row r="217" spans="1:10" x14ac:dyDescent="0.4">
      <c r="A217">
        <v>2</v>
      </c>
      <c r="B217">
        <v>9</v>
      </c>
      <c r="C217">
        <v>14</v>
      </c>
      <c r="D217">
        <f>IFERROR(IF(_xlfn.XLOOKUP(A217, ①オッズ入力!$A$2:$A$19, ①オッズ入力!$D$2:$D$19, "")="", 0, _xlfn.XLOOKUP(A217, ①オッズ入力!$A$2:$A$19, ①オッズ入力!$D$2:$D$19, 0)), 0)</f>
        <v>0.19850014668353391</v>
      </c>
      <c r="E217">
        <f>IFERROR(IF(_xlfn.XLOOKUP(B217, ①オッズ入力!$A$2:$A$19, ①オッズ入力!$D$2:$D$19, "")="", 0, _xlfn.XLOOKUP(B217, ①オッズ入力!$A$2:$A$19, ①オッズ入力!$D$2:$D$19, 0)), 0)</f>
        <v>1.9850014668353389E-2</v>
      </c>
      <c r="F217">
        <f>IFERROR(IF(_xlfn.XLOOKUP(C217, ①オッズ入力!$A$2:$A$19, ①オッズ入力!$D$2:$D$19, "")="", 0, _xlfn.XLOOKUP(C217, ①オッズ入力!$A$2:$A$19, ①オッズ入力!$D$2:$D$19, 0)), 0)</f>
        <v>1.1525814968721322E-2</v>
      </c>
      <c r="G217">
        <f t="shared" si="6"/>
        <v>22019.461441124207</v>
      </c>
      <c r="H217">
        <f>IF(G217="", 0, IF(OR(A217=③資金配分!$D$1, A217=③資金配分!$D$2, B217=③資金配分!$D$1, B217=③資金配分!$D$2, C217=③資金配分!$D$1, C217=③資金配分!$D$2), 0, IF(OR(A217=③資金配分!$D$4, A217=③資金配分!$D$5, A217=③資金配分!$D$6, B217=③資金配分!$D$4, B217=③資金配分!$D$5, B217=③資金配分!$D$6, C217=③資金配分!$D$4, C217=③資金配分!$D$5, C217=③資金配分!$D$6), 0, IF(AND(③資金配分!$B$8&gt;0, G217&lt;=③資金配分!$B$8), 1, 0))))</f>
        <v>0</v>
      </c>
      <c r="I217">
        <f t="shared" si="7"/>
        <v>0</v>
      </c>
      <c r="J217">
        <f>IF(I217&gt;0, ROUND((I217 / SUM($I$2:$I$817)) * ③資金配分!$B$7, -2), 0)</f>
        <v>0</v>
      </c>
    </row>
    <row r="218" spans="1:10" x14ac:dyDescent="0.4">
      <c r="A218">
        <v>2</v>
      </c>
      <c r="B218">
        <v>9</v>
      </c>
      <c r="C218">
        <v>15</v>
      </c>
      <c r="D218">
        <f>IFERROR(IF(_xlfn.XLOOKUP(A218, ①オッズ入力!$A$2:$A$19, ①オッズ入力!$D$2:$D$19, "")="", 0, _xlfn.XLOOKUP(A218, ①オッズ入力!$A$2:$A$19, ①オッズ入力!$D$2:$D$19, 0)), 0)</f>
        <v>0.19850014668353391</v>
      </c>
      <c r="E218">
        <f>IFERROR(IF(_xlfn.XLOOKUP(B218, ①オッズ入力!$A$2:$A$19, ①オッズ入力!$D$2:$D$19, "")="", 0, _xlfn.XLOOKUP(B218, ①オッズ入力!$A$2:$A$19, ①オッズ入力!$D$2:$D$19, 0)), 0)</f>
        <v>1.9850014668353389E-2</v>
      </c>
      <c r="F218">
        <f>IFERROR(IF(_xlfn.XLOOKUP(C218, ①オッズ入力!$A$2:$A$19, ①オッズ入力!$D$2:$D$19, "")="", 0, _xlfn.XLOOKUP(C218, ①オッズ入力!$A$2:$A$19, ①オッズ入力!$D$2:$D$19, 0)), 0)</f>
        <v>1.0697612695519792E-2</v>
      </c>
      <c r="G218">
        <f t="shared" si="6"/>
        <v>23724.193939791883</v>
      </c>
      <c r="H218">
        <f>IF(G218="", 0, IF(OR(A218=③資金配分!$D$1, A218=③資金配分!$D$2, B218=③資金配分!$D$1, B218=③資金配分!$D$2, C218=③資金配分!$D$1, C218=③資金配分!$D$2), 0, IF(OR(A218=③資金配分!$D$4, A218=③資金配分!$D$5, A218=③資金配分!$D$6, B218=③資金配分!$D$4, B218=③資金配分!$D$5, B218=③資金配分!$D$6, C218=③資金配分!$D$4, C218=③資金配分!$D$5, C218=③資金配分!$D$6), 0, IF(AND(③資金配分!$B$8&gt;0, G218&lt;=③資金配分!$B$8), 1, 0))))</f>
        <v>0</v>
      </c>
      <c r="I218">
        <f t="shared" si="7"/>
        <v>0</v>
      </c>
      <c r="J218">
        <f>IF(I218&gt;0, ROUND((I218 / SUM($I$2:$I$817)) * ③資金配分!$B$7, -2), 0)</f>
        <v>0</v>
      </c>
    </row>
    <row r="219" spans="1:10" x14ac:dyDescent="0.4">
      <c r="A219">
        <v>2</v>
      </c>
      <c r="B219">
        <v>9</v>
      </c>
      <c r="C219">
        <v>16</v>
      </c>
      <c r="D219">
        <f>IFERROR(IF(_xlfn.XLOOKUP(A219, ①オッズ入力!$A$2:$A$19, ①オッズ入力!$D$2:$D$19, "")="", 0, _xlfn.XLOOKUP(A219, ①オッズ入力!$A$2:$A$19, ①オッズ入力!$D$2:$D$19, 0)), 0)</f>
        <v>0.19850014668353391</v>
      </c>
      <c r="E219">
        <f>IFERROR(IF(_xlfn.XLOOKUP(B219, ①オッズ入力!$A$2:$A$19, ①オッズ入力!$D$2:$D$19, "")="", 0, _xlfn.XLOOKUP(B219, ①オッズ入力!$A$2:$A$19, ①オッズ入力!$D$2:$D$19, 0)), 0)</f>
        <v>1.9850014668353389E-2</v>
      </c>
      <c r="F219">
        <f>IFERROR(IF(_xlfn.XLOOKUP(C219, ①オッズ入力!$A$2:$A$19, ①オッズ入力!$D$2:$D$19, "")="", 0, _xlfn.XLOOKUP(C219, ①オッズ入力!$A$2:$A$19, ①オッズ入力!$D$2:$D$19, 0)), 0)</f>
        <v>9.8701730395127345E-3</v>
      </c>
      <c r="G219">
        <f t="shared" si="6"/>
        <v>25713.048521570847</v>
      </c>
      <c r="H219">
        <f>IF(G219="", 0, IF(OR(A219=③資金配分!$D$1, A219=③資金配分!$D$2, B219=③資金配分!$D$1, B219=③資金配分!$D$2, C219=③資金配分!$D$1, C219=③資金配分!$D$2), 0, IF(OR(A219=③資金配分!$D$4, A219=③資金配分!$D$5, A219=③資金配分!$D$6, B219=③資金配分!$D$4, B219=③資金配分!$D$5, B219=③資金配分!$D$6, C219=③資金配分!$D$4, C219=③資金配分!$D$5, C219=③資金配分!$D$6), 0, IF(AND(③資金配分!$B$8&gt;0, G219&lt;=③資金配分!$B$8), 1, 0))))</f>
        <v>0</v>
      </c>
      <c r="I219">
        <f t="shared" si="7"/>
        <v>0</v>
      </c>
      <c r="J219">
        <f>IF(I219&gt;0, ROUND((I219 / SUM($I$2:$I$817)) * ③資金配分!$B$7, -2), 0)</f>
        <v>0</v>
      </c>
    </row>
    <row r="220" spans="1:10" x14ac:dyDescent="0.4">
      <c r="A220">
        <v>2</v>
      </c>
      <c r="B220">
        <v>9</v>
      </c>
      <c r="C220">
        <v>17</v>
      </c>
      <c r="D220">
        <f>IFERROR(IF(_xlfn.XLOOKUP(A220, ①オッズ入力!$A$2:$A$19, ①オッズ入力!$D$2:$D$19, "")="", 0, _xlfn.XLOOKUP(A220, ①オッズ入力!$A$2:$A$19, ①オッズ入力!$D$2:$D$19, 0)), 0)</f>
        <v>0.19850014668353391</v>
      </c>
      <c r="E220">
        <f>IFERROR(IF(_xlfn.XLOOKUP(B220, ①オッズ入力!$A$2:$A$19, ①オッズ入力!$D$2:$D$19, "")="", 0, _xlfn.XLOOKUP(B220, ①オッズ入力!$A$2:$A$19, ①オッズ入力!$D$2:$D$19, 0)), 0)</f>
        <v>1.9850014668353389E-2</v>
      </c>
      <c r="F220">
        <f>IFERROR(IF(_xlfn.XLOOKUP(C220, ①オッズ入力!$A$2:$A$19, ①オッズ入力!$D$2:$D$19, "")="", 0, _xlfn.XLOOKUP(C220, ①オッズ入力!$A$2:$A$19, ①オッズ入力!$D$2:$D$19, 0)), 0)</f>
        <v>9.1615452315477186E-3</v>
      </c>
      <c r="G220">
        <f t="shared" si="6"/>
        <v>27701.903103349807</v>
      </c>
      <c r="H220">
        <f>IF(G220="", 0, IF(OR(A220=③資金配分!$D$1, A220=③資金配分!$D$2, B220=③資金配分!$D$1, B220=③資金配分!$D$2, C220=③資金配分!$D$1, C220=③資金配分!$D$2), 0, IF(OR(A220=③資金配分!$D$4, A220=③資金配分!$D$5, A220=③資金配分!$D$6, B220=③資金配分!$D$4, B220=③資金配分!$D$5, B220=③資金配分!$D$6, C220=③資金配分!$D$4, C220=③資金配分!$D$5, C220=③資金配分!$D$6), 0, IF(AND(③資金配分!$B$8&gt;0, G220&lt;=③資金配分!$B$8), 1, 0))))</f>
        <v>0</v>
      </c>
      <c r="I220">
        <f t="shared" si="7"/>
        <v>0</v>
      </c>
      <c r="J220">
        <f>IF(I220&gt;0, ROUND((I220 / SUM($I$2:$I$817)) * ③資金配分!$B$7, -2), 0)</f>
        <v>0</v>
      </c>
    </row>
    <row r="221" spans="1:10" x14ac:dyDescent="0.4">
      <c r="A221">
        <v>2</v>
      </c>
      <c r="B221">
        <v>9</v>
      </c>
      <c r="C221">
        <v>18</v>
      </c>
      <c r="D221">
        <f>IFERROR(IF(_xlfn.XLOOKUP(A221, ①オッズ入力!$A$2:$A$19, ①オッズ入力!$D$2:$D$19, "")="", 0, _xlfn.XLOOKUP(A221, ①オッズ入力!$A$2:$A$19, ①オッズ入力!$D$2:$D$19, 0)), 0)</f>
        <v>0.19850014668353391</v>
      </c>
      <c r="E221">
        <f>IFERROR(IF(_xlfn.XLOOKUP(B221, ①オッズ入力!$A$2:$A$19, ①オッズ入力!$D$2:$D$19, "")="", 0, _xlfn.XLOOKUP(B221, ①オッズ入力!$A$2:$A$19, ①オッズ入力!$D$2:$D$19, 0)), 0)</f>
        <v>1.9850014668353389E-2</v>
      </c>
      <c r="F221">
        <f>IFERROR(IF(_xlfn.XLOOKUP(C221, ①オッズ入力!$A$2:$A$19, ①オッズ入力!$D$2:$D$19, "")="", 0, _xlfn.XLOOKUP(C221, ①オッズ入力!$A$2:$A$19, ①オッズ入力!$D$2:$D$19, 0)), 0)</f>
        <v>8.5478532064679671E-3</v>
      </c>
      <c r="G221">
        <f t="shared" si="6"/>
        <v>29690.757685128767</v>
      </c>
      <c r="H221">
        <f>IF(G221="", 0, IF(OR(A221=③資金配分!$D$1, A221=③資金配分!$D$2, B221=③資金配分!$D$1, B221=③資金配分!$D$2, C221=③資金配分!$D$1, C221=③資金配分!$D$2), 0, IF(OR(A221=③資金配分!$D$4, A221=③資金配分!$D$5, A221=③資金配分!$D$6, B221=③資金配分!$D$4, B221=③資金配分!$D$5, B221=③資金配分!$D$6, C221=③資金配分!$D$4, C221=③資金配分!$D$5, C221=③資金配分!$D$6), 0, IF(AND(③資金配分!$B$8&gt;0, G221&lt;=③資金配分!$B$8), 1, 0))))</f>
        <v>0</v>
      </c>
      <c r="I221">
        <f t="shared" si="7"/>
        <v>0</v>
      </c>
      <c r="J221">
        <f>IF(I221&gt;0, ROUND((I221 / SUM($I$2:$I$817)) * ③資金配分!$B$7, -2), 0)</f>
        <v>0</v>
      </c>
    </row>
    <row r="222" spans="1:10" x14ac:dyDescent="0.4">
      <c r="A222">
        <v>2</v>
      </c>
      <c r="B222">
        <v>10</v>
      </c>
      <c r="C222">
        <v>11</v>
      </c>
      <c r="D222">
        <f>IFERROR(IF(_xlfn.XLOOKUP(A222, ①オッズ入力!$A$2:$A$19, ①オッズ入力!$D$2:$D$19, "")="", 0, _xlfn.XLOOKUP(A222, ①オッズ入力!$A$2:$A$19, ①オッズ入力!$D$2:$D$19, 0)), 0)</f>
        <v>0.19850014668353391</v>
      </c>
      <c r="E222">
        <f>IFERROR(IF(_xlfn.XLOOKUP(B222, ①オッズ入力!$A$2:$A$19, ①オッズ入力!$D$2:$D$19, "")="", 0, _xlfn.XLOOKUP(B222, ①オッズ入力!$A$2:$A$19, ①オッズ入力!$D$2:$D$19, 0)), 0)</f>
        <v>1.7865013201518051E-2</v>
      </c>
      <c r="F222">
        <f>IFERROR(IF(_xlfn.XLOOKUP(C222, ①オッズ入力!$A$2:$A$19, ①オッズ入力!$D$2:$D$19, "")="", 0, _xlfn.XLOOKUP(C222, ①オッズ入力!$A$2:$A$19, ①オッズ入力!$D$2:$D$19, 0)), 0)</f>
        <v>1.6240921092289137E-2</v>
      </c>
      <c r="G222">
        <f t="shared" si="6"/>
        <v>17363.016190133778</v>
      </c>
      <c r="H222">
        <f>IF(G222="", 0, IF(OR(A222=③資金配分!$D$1, A222=③資金配分!$D$2, B222=③資金配分!$D$1, B222=③資金配分!$D$2, C222=③資金配分!$D$1, C222=③資金配分!$D$2), 0, IF(OR(A222=③資金配分!$D$4, A222=③資金配分!$D$5, A222=③資金配分!$D$6, B222=③資金配分!$D$4, B222=③資金配分!$D$5, B222=③資金配分!$D$6, C222=③資金配分!$D$4, C222=③資金配分!$D$5, C222=③資金配分!$D$6), 0, IF(AND(③資金配分!$B$8&gt;0, G222&lt;=③資金配分!$B$8), 1, 0))))</f>
        <v>0</v>
      </c>
      <c r="I222">
        <f t="shared" si="7"/>
        <v>0</v>
      </c>
      <c r="J222">
        <f>IF(I222&gt;0, ROUND((I222 / SUM($I$2:$I$817)) * ③資金配分!$B$7, -2), 0)</f>
        <v>0</v>
      </c>
    </row>
    <row r="223" spans="1:10" x14ac:dyDescent="0.4">
      <c r="A223">
        <v>2</v>
      </c>
      <c r="B223">
        <v>10</v>
      </c>
      <c r="C223">
        <v>12</v>
      </c>
      <c r="D223">
        <f>IFERROR(IF(_xlfn.XLOOKUP(A223, ①オッズ入力!$A$2:$A$19, ①オッズ入力!$D$2:$D$19, "")="", 0, _xlfn.XLOOKUP(A223, ①オッズ入力!$A$2:$A$19, ①オッズ入力!$D$2:$D$19, 0)), 0)</f>
        <v>0.19850014668353391</v>
      </c>
      <c r="E223">
        <f>IFERROR(IF(_xlfn.XLOOKUP(B223, ①オッズ入力!$A$2:$A$19, ①オッズ入力!$D$2:$D$19, "")="", 0, _xlfn.XLOOKUP(B223, ①オッズ入力!$A$2:$A$19, ①オッズ入力!$D$2:$D$19, 0)), 0)</f>
        <v>1.7865013201518051E-2</v>
      </c>
      <c r="F223">
        <f>IFERROR(IF(_xlfn.XLOOKUP(C223, ①オッズ入力!$A$2:$A$19, ①オッズ入力!$D$2:$D$19, "")="", 0, _xlfn.XLOOKUP(C223, ①オッズ入力!$A$2:$A$19, ①オッズ入力!$D$2:$D$19, 0)), 0)</f>
        <v>1.4887511001265043E-2</v>
      </c>
      <c r="G223">
        <f t="shared" si="6"/>
        <v>18941.472207418665</v>
      </c>
      <c r="H223">
        <f>IF(G223="", 0, IF(OR(A223=③資金配分!$D$1, A223=③資金配分!$D$2, B223=③資金配分!$D$1, B223=③資金配分!$D$2, C223=③資金配分!$D$1, C223=③資金配分!$D$2), 0, IF(OR(A223=③資金配分!$D$4, A223=③資金配分!$D$5, A223=③資金配分!$D$6, B223=③資金配分!$D$4, B223=③資金配分!$D$5, B223=③資金配分!$D$6, C223=③資金配分!$D$4, C223=③資金配分!$D$5, C223=③資金配分!$D$6), 0, IF(AND(③資金配分!$B$8&gt;0, G223&lt;=③資金配分!$B$8), 1, 0))))</f>
        <v>0</v>
      </c>
      <c r="I223">
        <f t="shared" si="7"/>
        <v>0</v>
      </c>
      <c r="J223">
        <f>IF(I223&gt;0, ROUND((I223 / SUM($I$2:$I$817)) * ③資金配分!$B$7, -2), 0)</f>
        <v>0</v>
      </c>
    </row>
    <row r="224" spans="1:10" x14ac:dyDescent="0.4">
      <c r="A224">
        <v>2</v>
      </c>
      <c r="B224">
        <v>10</v>
      </c>
      <c r="C224">
        <v>13</v>
      </c>
      <c r="D224">
        <f>IFERROR(IF(_xlfn.XLOOKUP(A224, ①オッズ入力!$A$2:$A$19, ①オッズ入力!$D$2:$D$19, "")="", 0, _xlfn.XLOOKUP(A224, ①オッズ入力!$A$2:$A$19, ①オッズ入力!$D$2:$D$19, 0)), 0)</f>
        <v>0.19850014668353391</v>
      </c>
      <c r="E224">
        <f>IFERROR(IF(_xlfn.XLOOKUP(B224, ①オッズ入力!$A$2:$A$19, ①オッズ入力!$D$2:$D$19, "")="", 0, _xlfn.XLOOKUP(B224, ①オッズ入力!$A$2:$A$19, ①オッズ入力!$D$2:$D$19, 0)), 0)</f>
        <v>1.7865013201518051E-2</v>
      </c>
      <c r="F224">
        <f>IFERROR(IF(_xlfn.XLOOKUP(C224, ①オッズ入力!$A$2:$A$19, ①オッズ入力!$D$2:$D$19, "")="", 0, _xlfn.XLOOKUP(C224, ①オッズ入力!$A$2:$A$19, ①オッズ入力!$D$2:$D$19, 0)), 0)</f>
        <v>1.2760723715370036E-2</v>
      </c>
      <c r="G224">
        <f t="shared" si="6"/>
        <v>22098.384241988446</v>
      </c>
      <c r="H224">
        <f>IF(G224="", 0, IF(OR(A224=③資金配分!$D$1, A224=③資金配分!$D$2, B224=③資金配分!$D$1, B224=③資金配分!$D$2, C224=③資金配分!$D$1, C224=③資金配分!$D$2), 0, IF(OR(A224=③資金配分!$D$4, A224=③資金配分!$D$5, A224=③資金配分!$D$6, B224=③資金配分!$D$4, B224=③資金配分!$D$5, B224=③資金配分!$D$6, C224=③資金配分!$D$4, C224=③資金配分!$D$5, C224=③資金配分!$D$6), 0, IF(AND(③資金配分!$B$8&gt;0, G224&lt;=③資金配分!$B$8), 1, 0))))</f>
        <v>0</v>
      </c>
      <c r="I224">
        <f t="shared" si="7"/>
        <v>0</v>
      </c>
      <c r="J224">
        <f>IF(I224&gt;0, ROUND((I224 / SUM($I$2:$I$817)) * ③資金配分!$B$7, -2), 0)</f>
        <v>0</v>
      </c>
    </row>
    <row r="225" spans="1:10" x14ac:dyDescent="0.4">
      <c r="A225">
        <v>2</v>
      </c>
      <c r="B225">
        <v>10</v>
      </c>
      <c r="C225">
        <v>14</v>
      </c>
      <c r="D225">
        <f>IFERROR(IF(_xlfn.XLOOKUP(A225, ①オッズ入力!$A$2:$A$19, ①オッズ入力!$D$2:$D$19, "")="", 0, _xlfn.XLOOKUP(A225, ①オッズ入力!$A$2:$A$19, ①オッズ入力!$D$2:$D$19, 0)), 0)</f>
        <v>0.19850014668353391</v>
      </c>
      <c r="E225">
        <f>IFERROR(IF(_xlfn.XLOOKUP(B225, ①オッズ入力!$A$2:$A$19, ①オッズ入力!$D$2:$D$19, "")="", 0, _xlfn.XLOOKUP(B225, ①オッズ入力!$A$2:$A$19, ①オッズ入力!$D$2:$D$19, 0)), 0)</f>
        <v>1.7865013201518051E-2</v>
      </c>
      <c r="F225">
        <f>IFERROR(IF(_xlfn.XLOOKUP(C225, ①オッズ入力!$A$2:$A$19, ①オッズ入力!$D$2:$D$19, "")="", 0, _xlfn.XLOOKUP(C225, ①オッズ入力!$A$2:$A$19, ①オッズ入力!$D$2:$D$19, 0)), 0)</f>
        <v>1.1525814968721322E-2</v>
      </c>
      <c r="G225">
        <f t="shared" si="6"/>
        <v>24466.068267915776</v>
      </c>
      <c r="H225">
        <f>IF(G225="", 0, IF(OR(A225=③資金配分!$D$1, A225=③資金配分!$D$2, B225=③資金配分!$D$1, B225=③資金配分!$D$2, C225=③資金配分!$D$1, C225=③資金配分!$D$2), 0, IF(OR(A225=③資金配分!$D$4, A225=③資金配分!$D$5, A225=③資金配分!$D$6, B225=③資金配分!$D$4, B225=③資金配分!$D$5, B225=③資金配分!$D$6, C225=③資金配分!$D$4, C225=③資金配分!$D$5, C225=③資金配分!$D$6), 0, IF(AND(③資金配分!$B$8&gt;0, G225&lt;=③資金配分!$B$8), 1, 0))))</f>
        <v>0</v>
      </c>
      <c r="I225">
        <f t="shared" si="7"/>
        <v>0</v>
      </c>
      <c r="J225">
        <f>IF(I225&gt;0, ROUND((I225 / SUM($I$2:$I$817)) * ③資金配分!$B$7, -2), 0)</f>
        <v>0</v>
      </c>
    </row>
    <row r="226" spans="1:10" x14ac:dyDescent="0.4">
      <c r="A226">
        <v>2</v>
      </c>
      <c r="B226">
        <v>10</v>
      </c>
      <c r="C226">
        <v>15</v>
      </c>
      <c r="D226">
        <f>IFERROR(IF(_xlfn.XLOOKUP(A226, ①オッズ入力!$A$2:$A$19, ①オッズ入力!$D$2:$D$19, "")="", 0, _xlfn.XLOOKUP(A226, ①オッズ入力!$A$2:$A$19, ①オッズ入力!$D$2:$D$19, 0)), 0)</f>
        <v>0.19850014668353391</v>
      </c>
      <c r="E226">
        <f>IFERROR(IF(_xlfn.XLOOKUP(B226, ①オッズ入力!$A$2:$A$19, ①オッズ入力!$D$2:$D$19, "")="", 0, _xlfn.XLOOKUP(B226, ①オッズ入力!$A$2:$A$19, ①オッズ入力!$D$2:$D$19, 0)), 0)</f>
        <v>1.7865013201518051E-2</v>
      </c>
      <c r="F226">
        <f>IFERROR(IF(_xlfn.XLOOKUP(C226, ①オッズ入力!$A$2:$A$19, ①オッズ入力!$D$2:$D$19, "")="", 0, _xlfn.XLOOKUP(C226, ①オッズ入力!$A$2:$A$19, ①オッズ入力!$D$2:$D$19, 0)), 0)</f>
        <v>1.0697612695519792E-2</v>
      </c>
      <c r="G226">
        <f t="shared" si="6"/>
        <v>26360.215488657646</v>
      </c>
      <c r="H226">
        <f>IF(G226="", 0, IF(OR(A226=③資金配分!$D$1, A226=③資金配分!$D$2, B226=③資金配分!$D$1, B226=③資金配分!$D$2, C226=③資金配分!$D$1, C226=③資金配分!$D$2), 0, IF(OR(A226=③資金配分!$D$4, A226=③資金配分!$D$5, A226=③資金配分!$D$6, B226=③資金配分!$D$4, B226=③資金配分!$D$5, B226=③資金配分!$D$6, C226=③資金配分!$D$4, C226=③資金配分!$D$5, C226=③資金配分!$D$6), 0, IF(AND(③資金配分!$B$8&gt;0, G226&lt;=③資金配分!$B$8), 1, 0))))</f>
        <v>0</v>
      </c>
      <c r="I226">
        <f t="shared" si="7"/>
        <v>0</v>
      </c>
      <c r="J226">
        <f>IF(I226&gt;0, ROUND((I226 / SUM($I$2:$I$817)) * ③資金配分!$B$7, -2), 0)</f>
        <v>0</v>
      </c>
    </row>
    <row r="227" spans="1:10" x14ac:dyDescent="0.4">
      <c r="A227">
        <v>2</v>
      </c>
      <c r="B227">
        <v>10</v>
      </c>
      <c r="C227">
        <v>16</v>
      </c>
      <c r="D227">
        <f>IFERROR(IF(_xlfn.XLOOKUP(A227, ①オッズ入力!$A$2:$A$19, ①オッズ入力!$D$2:$D$19, "")="", 0, _xlfn.XLOOKUP(A227, ①オッズ入力!$A$2:$A$19, ①オッズ入力!$D$2:$D$19, 0)), 0)</f>
        <v>0.19850014668353391</v>
      </c>
      <c r="E227">
        <f>IFERROR(IF(_xlfn.XLOOKUP(B227, ①オッズ入力!$A$2:$A$19, ①オッズ入力!$D$2:$D$19, "")="", 0, _xlfn.XLOOKUP(B227, ①オッズ入力!$A$2:$A$19, ①オッズ入力!$D$2:$D$19, 0)), 0)</f>
        <v>1.7865013201518051E-2</v>
      </c>
      <c r="F227">
        <f>IFERROR(IF(_xlfn.XLOOKUP(C227, ①オッズ入力!$A$2:$A$19, ①オッズ入力!$D$2:$D$19, "")="", 0, _xlfn.XLOOKUP(C227, ①オッズ入力!$A$2:$A$19, ①オッズ入力!$D$2:$D$19, 0)), 0)</f>
        <v>9.8701730395127345E-3</v>
      </c>
      <c r="G227">
        <f t="shared" si="6"/>
        <v>28570.053912856492</v>
      </c>
      <c r="H227">
        <f>IF(G227="", 0, IF(OR(A227=③資金配分!$D$1, A227=③資金配分!$D$2, B227=③資金配分!$D$1, B227=③資金配分!$D$2, C227=③資金配分!$D$1, C227=③資金配分!$D$2), 0, IF(OR(A227=③資金配分!$D$4, A227=③資金配分!$D$5, A227=③資金配分!$D$6, B227=③資金配分!$D$4, B227=③資金配分!$D$5, B227=③資金配分!$D$6, C227=③資金配分!$D$4, C227=③資金配分!$D$5, C227=③資金配分!$D$6), 0, IF(AND(③資金配分!$B$8&gt;0, G227&lt;=③資金配分!$B$8), 1, 0))))</f>
        <v>0</v>
      </c>
      <c r="I227">
        <f t="shared" si="7"/>
        <v>0</v>
      </c>
      <c r="J227">
        <f>IF(I227&gt;0, ROUND((I227 / SUM($I$2:$I$817)) * ③資金配分!$B$7, -2), 0)</f>
        <v>0</v>
      </c>
    </row>
    <row r="228" spans="1:10" x14ac:dyDescent="0.4">
      <c r="A228">
        <v>2</v>
      </c>
      <c r="B228">
        <v>10</v>
      </c>
      <c r="C228">
        <v>17</v>
      </c>
      <c r="D228">
        <f>IFERROR(IF(_xlfn.XLOOKUP(A228, ①オッズ入力!$A$2:$A$19, ①オッズ入力!$D$2:$D$19, "")="", 0, _xlfn.XLOOKUP(A228, ①オッズ入力!$A$2:$A$19, ①オッズ入力!$D$2:$D$19, 0)), 0)</f>
        <v>0.19850014668353391</v>
      </c>
      <c r="E228">
        <f>IFERROR(IF(_xlfn.XLOOKUP(B228, ①オッズ入力!$A$2:$A$19, ①オッズ入力!$D$2:$D$19, "")="", 0, _xlfn.XLOOKUP(B228, ①オッズ入力!$A$2:$A$19, ①オッズ入力!$D$2:$D$19, 0)), 0)</f>
        <v>1.7865013201518051E-2</v>
      </c>
      <c r="F228">
        <f>IFERROR(IF(_xlfn.XLOOKUP(C228, ①オッズ入力!$A$2:$A$19, ①オッズ入力!$D$2:$D$19, "")="", 0, _xlfn.XLOOKUP(C228, ①オッズ入力!$A$2:$A$19, ①オッズ入力!$D$2:$D$19, 0)), 0)</f>
        <v>9.1615452315477186E-3</v>
      </c>
      <c r="G228">
        <f t="shared" si="6"/>
        <v>30779.892337055335</v>
      </c>
      <c r="H228">
        <f>IF(G228="", 0, IF(OR(A228=③資金配分!$D$1, A228=③資金配分!$D$2, B228=③資金配分!$D$1, B228=③資金配分!$D$2, C228=③資金配分!$D$1, C228=③資金配分!$D$2), 0, IF(OR(A228=③資金配分!$D$4, A228=③資金配分!$D$5, A228=③資金配分!$D$6, B228=③資金配分!$D$4, B228=③資金配分!$D$5, B228=③資金配分!$D$6, C228=③資金配分!$D$4, C228=③資金配分!$D$5, C228=③資金配分!$D$6), 0, IF(AND(③資金配分!$B$8&gt;0, G228&lt;=③資金配分!$B$8), 1, 0))))</f>
        <v>0</v>
      </c>
      <c r="I228">
        <f t="shared" si="7"/>
        <v>0</v>
      </c>
      <c r="J228">
        <f>IF(I228&gt;0, ROUND((I228 / SUM($I$2:$I$817)) * ③資金配分!$B$7, -2), 0)</f>
        <v>0</v>
      </c>
    </row>
    <row r="229" spans="1:10" x14ac:dyDescent="0.4">
      <c r="A229">
        <v>2</v>
      </c>
      <c r="B229">
        <v>10</v>
      </c>
      <c r="C229">
        <v>18</v>
      </c>
      <c r="D229">
        <f>IFERROR(IF(_xlfn.XLOOKUP(A229, ①オッズ入力!$A$2:$A$19, ①オッズ入力!$D$2:$D$19, "")="", 0, _xlfn.XLOOKUP(A229, ①オッズ入力!$A$2:$A$19, ①オッズ入力!$D$2:$D$19, 0)), 0)</f>
        <v>0.19850014668353391</v>
      </c>
      <c r="E229">
        <f>IFERROR(IF(_xlfn.XLOOKUP(B229, ①オッズ入力!$A$2:$A$19, ①オッズ入力!$D$2:$D$19, "")="", 0, _xlfn.XLOOKUP(B229, ①オッズ入力!$A$2:$A$19, ①オッズ入力!$D$2:$D$19, 0)), 0)</f>
        <v>1.7865013201518051E-2</v>
      </c>
      <c r="F229">
        <f>IFERROR(IF(_xlfn.XLOOKUP(C229, ①オッズ入力!$A$2:$A$19, ①オッズ入力!$D$2:$D$19, "")="", 0, _xlfn.XLOOKUP(C229, ①オッズ入力!$A$2:$A$19, ①オッズ入力!$D$2:$D$19, 0)), 0)</f>
        <v>8.5478532064679671E-3</v>
      </c>
      <c r="G229">
        <f t="shared" si="6"/>
        <v>32989.730761254177</v>
      </c>
      <c r="H229">
        <f>IF(G229="", 0, IF(OR(A229=③資金配分!$D$1, A229=③資金配分!$D$2, B229=③資金配分!$D$1, B229=③資金配分!$D$2, C229=③資金配分!$D$1, C229=③資金配分!$D$2), 0, IF(OR(A229=③資金配分!$D$4, A229=③資金配分!$D$5, A229=③資金配分!$D$6, B229=③資金配分!$D$4, B229=③資金配分!$D$5, B229=③資金配分!$D$6, C229=③資金配分!$D$4, C229=③資金配分!$D$5, C229=③資金配分!$D$6), 0, IF(AND(③資金配分!$B$8&gt;0, G229&lt;=③資金配分!$B$8), 1, 0))))</f>
        <v>0</v>
      </c>
      <c r="I229">
        <f t="shared" si="7"/>
        <v>0</v>
      </c>
      <c r="J229">
        <f>IF(I229&gt;0, ROUND((I229 / SUM($I$2:$I$817)) * ③資金配分!$B$7, -2), 0)</f>
        <v>0</v>
      </c>
    </row>
    <row r="230" spans="1:10" x14ac:dyDescent="0.4">
      <c r="A230">
        <v>2</v>
      </c>
      <c r="B230">
        <v>11</v>
      </c>
      <c r="C230">
        <v>12</v>
      </c>
      <c r="D230">
        <f>IFERROR(IF(_xlfn.XLOOKUP(A230, ①オッズ入力!$A$2:$A$19, ①オッズ入力!$D$2:$D$19, "")="", 0, _xlfn.XLOOKUP(A230, ①オッズ入力!$A$2:$A$19, ①オッズ入力!$D$2:$D$19, 0)), 0)</f>
        <v>0.19850014668353391</v>
      </c>
      <c r="E230">
        <f>IFERROR(IF(_xlfn.XLOOKUP(B230, ①オッズ入力!$A$2:$A$19, ①オッズ入力!$D$2:$D$19, "")="", 0, _xlfn.XLOOKUP(B230, ①オッズ入力!$A$2:$A$19, ①オッズ入力!$D$2:$D$19, 0)), 0)</f>
        <v>1.6240921092289137E-2</v>
      </c>
      <c r="F230">
        <f>IFERROR(IF(_xlfn.XLOOKUP(C230, ①オッズ入力!$A$2:$A$19, ①オッズ入力!$D$2:$D$19, "")="", 0, _xlfn.XLOOKUP(C230, ①オッズ入力!$A$2:$A$19, ①オッズ入力!$D$2:$D$19, 0)), 0)</f>
        <v>1.4887511001265043E-2</v>
      </c>
      <c r="G230">
        <f t="shared" si="6"/>
        <v>20835.619428160535</v>
      </c>
      <c r="H230">
        <f>IF(G230="", 0, IF(OR(A230=③資金配分!$D$1, A230=③資金配分!$D$2, B230=③資金配分!$D$1, B230=③資金配分!$D$2, C230=③資金配分!$D$1, C230=③資金配分!$D$2), 0, IF(OR(A230=③資金配分!$D$4, A230=③資金配分!$D$5, A230=③資金配分!$D$6, B230=③資金配分!$D$4, B230=③資金配分!$D$5, B230=③資金配分!$D$6, C230=③資金配分!$D$4, C230=③資金配分!$D$5, C230=③資金配分!$D$6), 0, IF(AND(③資金配分!$B$8&gt;0, G230&lt;=③資金配分!$B$8), 1, 0))))</f>
        <v>0</v>
      </c>
      <c r="I230">
        <f t="shared" si="7"/>
        <v>0</v>
      </c>
      <c r="J230">
        <f>IF(I230&gt;0, ROUND((I230 / SUM($I$2:$I$817)) * ③資金配分!$B$7, -2), 0)</f>
        <v>0</v>
      </c>
    </row>
    <row r="231" spans="1:10" x14ac:dyDescent="0.4">
      <c r="A231">
        <v>2</v>
      </c>
      <c r="B231">
        <v>11</v>
      </c>
      <c r="C231">
        <v>13</v>
      </c>
      <c r="D231">
        <f>IFERROR(IF(_xlfn.XLOOKUP(A231, ①オッズ入力!$A$2:$A$19, ①オッズ入力!$D$2:$D$19, "")="", 0, _xlfn.XLOOKUP(A231, ①オッズ入力!$A$2:$A$19, ①オッズ入力!$D$2:$D$19, 0)), 0)</f>
        <v>0.19850014668353391</v>
      </c>
      <c r="E231">
        <f>IFERROR(IF(_xlfn.XLOOKUP(B231, ①オッズ入力!$A$2:$A$19, ①オッズ入力!$D$2:$D$19, "")="", 0, _xlfn.XLOOKUP(B231, ①オッズ入力!$A$2:$A$19, ①オッズ入力!$D$2:$D$19, 0)), 0)</f>
        <v>1.6240921092289137E-2</v>
      </c>
      <c r="F231">
        <f>IFERROR(IF(_xlfn.XLOOKUP(C231, ①オッズ入力!$A$2:$A$19, ①オッズ入力!$D$2:$D$19, "")="", 0, _xlfn.XLOOKUP(C231, ①オッズ入力!$A$2:$A$19, ①オッズ入力!$D$2:$D$19, 0)), 0)</f>
        <v>1.2760723715370036E-2</v>
      </c>
      <c r="G231">
        <f t="shared" si="6"/>
        <v>24308.222666187292</v>
      </c>
      <c r="H231">
        <f>IF(G231="", 0, IF(OR(A231=③資金配分!$D$1, A231=③資金配分!$D$2, B231=③資金配分!$D$1, B231=③資金配分!$D$2, C231=③資金配分!$D$1, C231=③資金配分!$D$2), 0, IF(OR(A231=③資金配分!$D$4, A231=③資金配分!$D$5, A231=③資金配分!$D$6, B231=③資金配分!$D$4, B231=③資金配分!$D$5, B231=③資金配分!$D$6, C231=③資金配分!$D$4, C231=③資金配分!$D$5, C231=③資金配分!$D$6), 0, IF(AND(③資金配分!$B$8&gt;0, G231&lt;=③資金配分!$B$8), 1, 0))))</f>
        <v>0</v>
      </c>
      <c r="I231">
        <f t="shared" si="7"/>
        <v>0</v>
      </c>
      <c r="J231">
        <f>IF(I231&gt;0, ROUND((I231 / SUM($I$2:$I$817)) * ③資金配分!$B$7, -2), 0)</f>
        <v>0</v>
      </c>
    </row>
    <row r="232" spans="1:10" x14ac:dyDescent="0.4">
      <c r="A232">
        <v>2</v>
      </c>
      <c r="B232">
        <v>11</v>
      </c>
      <c r="C232">
        <v>14</v>
      </c>
      <c r="D232">
        <f>IFERROR(IF(_xlfn.XLOOKUP(A232, ①オッズ入力!$A$2:$A$19, ①オッズ入力!$D$2:$D$19, "")="", 0, _xlfn.XLOOKUP(A232, ①オッズ入力!$A$2:$A$19, ①オッズ入力!$D$2:$D$19, 0)), 0)</f>
        <v>0.19850014668353391</v>
      </c>
      <c r="E232">
        <f>IFERROR(IF(_xlfn.XLOOKUP(B232, ①オッズ入力!$A$2:$A$19, ①オッズ入力!$D$2:$D$19, "")="", 0, _xlfn.XLOOKUP(B232, ①オッズ入力!$A$2:$A$19, ①オッズ入力!$D$2:$D$19, 0)), 0)</f>
        <v>1.6240921092289137E-2</v>
      </c>
      <c r="F232">
        <f>IFERROR(IF(_xlfn.XLOOKUP(C232, ①オッズ入力!$A$2:$A$19, ①オッズ入力!$D$2:$D$19, "")="", 0, _xlfn.XLOOKUP(C232, ①オッズ入力!$A$2:$A$19, ①オッズ入力!$D$2:$D$19, 0)), 0)</f>
        <v>1.1525814968721322E-2</v>
      </c>
      <c r="G232">
        <f t="shared" si="6"/>
        <v>26912.67509470736</v>
      </c>
      <c r="H232">
        <f>IF(G232="", 0, IF(OR(A232=③資金配分!$D$1, A232=③資金配分!$D$2, B232=③資金配分!$D$1, B232=③資金配分!$D$2, C232=③資金配分!$D$1, C232=③資金配分!$D$2), 0, IF(OR(A232=③資金配分!$D$4, A232=③資金配分!$D$5, A232=③資金配分!$D$6, B232=③資金配分!$D$4, B232=③資金配分!$D$5, B232=③資金配分!$D$6, C232=③資金配分!$D$4, C232=③資金配分!$D$5, C232=③資金配分!$D$6), 0, IF(AND(③資金配分!$B$8&gt;0, G232&lt;=③資金配分!$B$8), 1, 0))))</f>
        <v>0</v>
      </c>
      <c r="I232">
        <f t="shared" si="7"/>
        <v>0</v>
      </c>
      <c r="J232">
        <f>IF(I232&gt;0, ROUND((I232 / SUM($I$2:$I$817)) * ③資金配分!$B$7, -2), 0)</f>
        <v>0</v>
      </c>
    </row>
    <row r="233" spans="1:10" x14ac:dyDescent="0.4">
      <c r="A233">
        <v>2</v>
      </c>
      <c r="B233">
        <v>11</v>
      </c>
      <c r="C233">
        <v>15</v>
      </c>
      <c r="D233">
        <f>IFERROR(IF(_xlfn.XLOOKUP(A233, ①オッズ入力!$A$2:$A$19, ①オッズ入力!$D$2:$D$19, "")="", 0, _xlfn.XLOOKUP(A233, ①オッズ入力!$A$2:$A$19, ①オッズ入力!$D$2:$D$19, 0)), 0)</f>
        <v>0.19850014668353391</v>
      </c>
      <c r="E233">
        <f>IFERROR(IF(_xlfn.XLOOKUP(B233, ①オッズ入力!$A$2:$A$19, ①オッズ入力!$D$2:$D$19, "")="", 0, _xlfn.XLOOKUP(B233, ①オッズ入力!$A$2:$A$19, ①オッズ入力!$D$2:$D$19, 0)), 0)</f>
        <v>1.6240921092289137E-2</v>
      </c>
      <c r="F233">
        <f>IFERROR(IF(_xlfn.XLOOKUP(C233, ①オッズ入力!$A$2:$A$19, ①オッズ入力!$D$2:$D$19, "")="", 0, _xlfn.XLOOKUP(C233, ①オッズ入力!$A$2:$A$19, ①オッズ入力!$D$2:$D$19, 0)), 0)</f>
        <v>1.0697612695519792E-2</v>
      </c>
      <c r="G233">
        <f t="shared" si="6"/>
        <v>28996.23703752341</v>
      </c>
      <c r="H233">
        <f>IF(G233="", 0, IF(OR(A233=③資金配分!$D$1, A233=③資金配分!$D$2, B233=③資金配分!$D$1, B233=③資金配分!$D$2, C233=③資金配分!$D$1, C233=③資金配分!$D$2), 0, IF(OR(A233=③資金配分!$D$4, A233=③資金配分!$D$5, A233=③資金配分!$D$6, B233=③資金配分!$D$4, B233=③資金配分!$D$5, B233=③資金配分!$D$6, C233=③資金配分!$D$4, C233=③資金配分!$D$5, C233=③資金配分!$D$6), 0, IF(AND(③資金配分!$B$8&gt;0, G233&lt;=③資金配分!$B$8), 1, 0))))</f>
        <v>0</v>
      </c>
      <c r="I233">
        <f t="shared" si="7"/>
        <v>0</v>
      </c>
      <c r="J233">
        <f>IF(I233&gt;0, ROUND((I233 / SUM($I$2:$I$817)) * ③資金配分!$B$7, -2), 0)</f>
        <v>0</v>
      </c>
    </row>
    <row r="234" spans="1:10" x14ac:dyDescent="0.4">
      <c r="A234">
        <v>2</v>
      </c>
      <c r="B234">
        <v>11</v>
      </c>
      <c r="C234">
        <v>16</v>
      </c>
      <c r="D234">
        <f>IFERROR(IF(_xlfn.XLOOKUP(A234, ①オッズ入力!$A$2:$A$19, ①オッズ入力!$D$2:$D$19, "")="", 0, _xlfn.XLOOKUP(A234, ①オッズ入力!$A$2:$A$19, ①オッズ入力!$D$2:$D$19, 0)), 0)</f>
        <v>0.19850014668353391</v>
      </c>
      <c r="E234">
        <f>IFERROR(IF(_xlfn.XLOOKUP(B234, ①オッズ入力!$A$2:$A$19, ①オッズ入力!$D$2:$D$19, "")="", 0, _xlfn.XLOOKUP(B234, ①オッズ入力!$A$2:$A$19, ①オッズ入力!$D$2:$D$19, 0)), 0)</f>
        <v>1.6240921092289137E-2</v>
      </c>
      <c r="F234">
        <f>IFERROR(IF(_xlfn.XLOOKUP(C234, ①オッズ入力!$A$2:$A$19, ①オッズ入力!$D$2:$D$19, "")="", 0, _xlfn.XLOOKUP(C234, ①オッズ入力!$A$2:$A$19, ①オッズ入力!$D$2:$D$19, 0)), 0)</f>
        <v>9.8701730395127345E-3</v>
      </c>
      <c r="G234">
        <f t="shared" si="6"/>
        <v>31427.059304142149</v>
      </c>
      <c r="H234">
        <f>IF(G234="", 0, IF(OR(A234=③資金配分!$D$1, A234=③資金配分!$D$2, B234=③資金配分!$D$1, B234=③資金配分!$D$2, C234=③資金配分!$D$1, C234=③資金配分!$D$2), 0, IF(OR(A234=③資金配分!$D$4, A234=③資金配分!$D$5, A234=③資金配分!$D$6, B234=③資金配分!$D$4, B234=③資金配分!$D$5, B234=③資金配分!$D$6, C234=③資金配分!$D$4, C234=③資金配分!$D$5, C234=③資金配分!$D$6), 0, IF(AND(③資金配分!$B$8&gt;0, G234&lt;=③資金配分!$B$8), 1, 0))))</f>
        <v>0</v>
      </c>
      <c r="I234">
        <f t="shared" si="7"/>
        <v>0</v>
      </c>
      <c r="J234">
        <f>IF(I234&gt;0, ROUND((I234 / SUM($I$2:$I$817)) * ③資金配分!$B$7, -2), 0)</f>
        <v>0</v>
      </c>
    </row>
    <row r="235" spans="1:10" x14ac:dyDescent="0.4">
      <c r="A235">
        <v>2</v>
      </c>
      <c r="B235">
        <v>11</v>
      </c>
      <c r="C235">
        <v>17</v>
      </c>
      <c r="D235">
        <f>IFERROR(IF(_xlfn.XLOOKUP(A235, ①オッズ入力!$A$2:$A$19, ①オッズ入力!$D$2:$D$19, "")="", 0, _xlfn.XLOOKUP(A235, ①オッズ入力!$A$2:$A$19, ①オッズ入力!$D$2:$D$19, 0)), 0)</f>
        <v>0.19850014668353391</v>
      </c>
      <c r="E235">
        <f>IFERROR(IF(_xlfn.XLOOKUP(B235, ①オッズ入力!$A$2:$A$19, ①オッズ入力!$D$2:$D$19, "")="", 0, _xlfn.XLOOKUP(B235, ①オッズ入力!$A$2:$A$19, ①オッズ入力!$D$2:$D$19, 0)), 0)</f>
        <v>1.6240921092289137E-2</v>
      </c>
      <c r="F235">
        <f>IFERROR(IF(_xlfn.XLOOKUP(C235, ①オッズ入力!$A$2:$A$19, ①オッズ入力!$D$2:$D$19, "")="", 0, _xlfn.XLOOKUP(C235, ①オッズ入力!$A$2:$A$19, ①オッズ入力!$D$2:$D$19, 0)), 0)</f>
        <v>9.1615452315477186E-3</v>
      </c>
      <c r="G235">
        <f t="shared" si="6"/>
        <v>33857.881570760874</v>
      </c>
      <c r="H235">
        <f>IF(G235="", 0, IF(OR(A235=③資金配分!$D$1, A235=③資金配分!$D$2, B235=③資金配分!$D$1, B235=③資金配分!$D$2, C235=③資金配分!$D$1, C235=③資金配分!$D$2), 0, IF(OR(A235=③資金配分!$D$4, A235=③資金配分!$D$5, A235=③資金配分!$D$6, B235=③資金配分!$D$4, B235=③資金配分!$D$5, B235=③資金配分!$D$6, C235=③資金配分!$D$4, C235=③資金配分!$D$5, C235=③資金配分!$D$6), 0, IF(AND(③資金配分!$B$8&gt;0, G235&lt;=③資金配分!$B$8), 1, 0))))</f>
        <v>0</v>
      </c>
      <c r="I235">
        <f t="shared" si="7"/>
        <v>0</v>
      </c>
      <c r="J235">
        <f>IF(I235&gt;0, ROUND((I235 / SUM($I$2:$I$817)) * ③資金配分!$B$7, -2), 0)</f>
        <v>0</v>
      </c>
    </row>
    <row r="236" spans="1:10" x14ac:dyDescent="0.4">
      <c r="A236">
        <v>2</v>
      </c>
      <c r="B236">
        <v>11</v>
      </c>
      <c r="C236">
        <v>18</v>
      </c>
      <c r="D236">
        <f>IFERROR(IF(_xlfn.XLOOKUP(A236, ①オッズ入力!$A$2:$A$19, ①オッズ入力!$D$2:$D$19, "")="", 0, _xlfn.XLOOKUP(A236, ①オッズ入力!$A$2:$A$19, ①オッズ入力!$D$2:$D$19, 0)), 0)</f>
        <v>0.19850014668353391</v>
      </c>
      <c r="E236">
        <f>IFERROR(IF(_xlfn.XLOOKUP(B236, ①オッズ入力!$A$2:$A$19, ①オッズ入力!$D$2:$D$19, "")="", 0, _xlfn.XLOOKUP(B236, ①オッズ入力!$A$2:$A$19, ①オッズ入力!$D$2:$D$19, 0)), 0)</f>
        <v>1.6240921092289137E-2</v>
      </c>
      <c r="F236">
        <f>IFERROR(IF(_xlfn.XLOOKUP(C236, ①オッズ入力!$A$2:$A$19, ①オッズ入力!$D$2:$D$19, "")="", 0, _xlfn.XLOOKUP(C236, ①オッズ入力!$A$2:$A$19, ①オッズ入力!$D$2:$D$19, 0)), 0)</f>
        <v>8.5478532064679671E-3</v>
      </c>
      <c r="G236">
        <f t="shared" si="6"/>
        <v>36288.703837379602</v>
      </c>
      <c r="H236">
        <f>IF(G236="", 0, IF(OR(A236=③資金配分!$D$1, A236=③資金配分!$D$2, B236=③資金配分!$D$1, B236=③資金配分!$D$2, C236=③資金配分!$D$1, C236=③資金配分!$D$2), 0, IF(OR(A236=③資金配分!$D$4, A236=③資金配分!$D$5, A236=③資金配分!$D$6, B236=③資金配分!$D$4, B236=③資金配分!$D$5, B236=③資金配分!$D$6, C236=③資金配分!$D$4, C236=③資金配分!$D$5, C236=③資金配分!$D$6), 0, IF(AND(③資金配分!$B$8&gt;0, G236&lt;=③資金配分!$B$8), 1, 0))))</f>
        <v>0</v>
      </c>
      <c r="I236">
        <f t="shared" si="7"/>
        <v>0</v>
      </c>
      <c r="J236">
        <f>IF(I236&gt;0, ROUND((I236 / SUM($I$2:$I$817)) * ③資金配分!$B$7, -2), 0)</f>
        <v>0</v>
      </c>
    </row>
    <row r="237" spans="1:10" x14ac:dyDescent="0.4">
      <c r="A237">
        <v>2</v>
      </c>
      <c r="B237">
        <v>12</v>
      </c>
      <c r="C237">
        <v>13</v>
      </c>
      <c r="D237">
        <f>IFERROR(IF(_xlfn.XLOOKUP(A237, ①オッズ入力!$A$2:$A$19, ①オッズ入力!$D$2:$D$19, "")="", 0, _xlfn.XLOOKUP(A237, ①オッズ入力!$A$2:$A$19, ①オッズ入力!$D$2:$D$19, 0)), 0)</f>
        <v>0.19850014668353391</v>
      </c>
      <c r="E237">
        <f>IFERROR(IF(_xlfn.XLOOKUP(B237, ①オッズ入力!$A$2:$A$19, ①オッズ入力!$D$2:$D$19, "")="", 0, _xlfn.XLOOKUP(B237, ①オッズ入力!$A$2:$A$19, ①オッズ入力!$D$2:$D$19, 0)), 0)</f>
        <v>1.4887511001265043E-2</v>
      </c>
      <c r="F237">
        <f>IFERROR(IF(_xlfn.XLOOKUP(C237, ①オッズ入力!$A$2:$A$19, ①オッズ入力!$D$2:$D$19, "")="", 0, _xlfn.XLOOKUP(C237, ①オッズ入力!$A$2:$A$19, ①オッズ入力!$D$2:$D$19, 0)), 0)</f>
        <v>1.2760723715370036E-2</v>
      </c>
      <c r="G237">
        <f t="shared" si="6"/>
        <v>26518.061090386134</v>
      </c>
      <c r="H237">
        <f>IF(G237="", 0, IF(OR(A237=③資金配分!$D$1, A237=③資金配分!$D$2, B237=③資金配分!$D$1, B237=③資金配分!$D$2, C237=③資金配分!$D$1, C237=③資金配分!$D$2), 0, IF(OR(A237=③資金配分!$D$4, A237=③資金配分!$D$5, A237=③資金配分!$D$6, B237=③資金配分!$D$4, B237=③資金配分!$D$5, B237=③資金配分!$D$6, C237=③資金配分!$D$4, C237=③資金配分!$D$5, C237=③資金配分!$D$6), 0, IF(AND(③資金配分!$B$8&gt;0, G237&lt;=③資金配分!$B$8), 1, 0))))</f>
        <v>0</v>
      </c>
      <c r="I237">
        <f t="shared" si="7"/>
        <v>0</v>
      </c>
      <c r="J237">
        <f>IF(I237&gt;0, ROUND((I237 / SUM($I$2:$I$817)) * ③資金配分!$B$7, -2), 0)</f>
        <v>0</v>
      </c>
    </row>
    <row r="238" spans="1:10" x14ac:dyDescent="0.4">
      <c r="A238">
        <v>2</v>
      </c>
      <c r="B238">
        <v>12</v>
      </c>
      <c r="C238">
        <v>14</v>
      </c>
      <c r="D238">
        <f>IFERROR(IF(_xlfn.XLOOKUP(A238, ①オッズ入力!$A$2:$A$19, ①オッズ入力!$D$2:$D$19, "")="", 0, _xlfn.XLOOKUP(A238, ①オッズ入力!$A$2:$A$19, ①オッズ入力!$D$2:$D$19, 0)), 0)</f>
        <v>0.19850014668353391</v>
      </c>
      <c r="E238">
        <f>IFERROR(IF(_xlfn.XLOOKUP(B238, ①オッズ入力!$A$2:$A$19, ①オッズ入力!$D$2:$D$19, "")="", 0, _xlfn.XLOOKUP(B238, ①オッズ入力!$A$2:$A$19, ①オッズ入力!$D$2:$D$19, 0)), 0)</f>
        <v>1.4887511001265043E-2</v>
      </c>
      <c r="F238">
        <f>IFERROR(IF(_xlfn.XLOOKUP(C238, ①オッズ入力!$A$2:$A$19, ①オッズ入力!$D$2:$D$19, "")="", 0, _xlfn.XLOOKUP(C238, ①オッズ入力!$A$2:$A$19, ①オッズ入力!$D$2:$D$19, 0)), 0)</f>
        <v>1.1525814968721322E-2</v>
      </c>
      <c r="G238">
        <f t="shared" si="6"/>
        <v>29359.281921498939</v>
      </c>
      <c r="H238">
        <f>IF(G238="", 0, IF(OR(A238=③資金配分!$D$1, A238=③資金配分!$D$2, B238=③資金配分!$D$1, B238=③資金配分!$D$2, C238=③資金配分!$D$1, C238=③資金配分!$D$2), 0, IF(OR(A238=③資金配分!$D$4, A238=③資金配分!$D$5, A238=③資金配分!$D$6, B238=③資金配分!$D$4, B238=③資金配分!$D$5, B238=③資金配分!$D$6, C238=③資金配分!$D$4, C238=③資金配分!$D$5, C238=③資金配分!$D$6), 0, IF(AND(③資金配分!$B$8&gt;0, G238&lt;=③資金配分!$B$8), 1, 0))))</f>
        <v>0</v>
      </c>
      <c r="I238">
        <f t="shared" si="7"/>
        <v>0</v>
      </c>
      <c r="J238">
        <f>IF(I238&gt;0, ROUND((I238 / SUM($I$2:$I$817)) * ③資金配分!$B$7, -2), 0)</f>
        <v>0</v>
      </c>
    </row>
    <row r="239" spans="1:10" x14ac:dyDescent="0.4">
      <c r="A239">
        <v>2</v>
      </c>
      <c r="B239">
        <v>12</v>
      </c>
      <c r="C239">
        <v>15</v>
      </c>
      <c r="D239">
        <f>IFERROR(IF(_xlfn.XLOOKUP(A239, ①オッズ入力!$A$2:$A$19, ①オッズ入力!$D$2:$D$19, "")="", 0, _xlfn.XLOOKUP(A239, ①オッズ入力!$A$2:$A$19, ①オッズ入力!$D$2:$D$19, 0)), 0)</f>
        <v>0.19850014668353391</v>
      </c>
      <c r="E239">
        <f>IFERROR(IF(_xlfn.XLOOKUP(B239, ①オッズ入力!$A$2:$A$19, ①オッズ入力!$D$2:$D$19, "")="", 0, _xlfn.XLOOKUP(B239, ①オッズ入力!$A$2:$A$19, ①オッズ入力!$D$2:$D$19, 0)), 0)</f>
        <v>1.4887511001265043E-2</v>
      </c>
      <c r="F239">
        <f>IFERROR(IF(_xlfn.XLOOKUP(C239, ①オッズ入力!$A$2:$A$19, ①オッズ入力!$D$2:$D$19, "")="", 0, _xlfn.XLOOKUP(C239, ①オッズ入力!$A$2:$A$19, ①オッズ入力!$D$2:$D$19, 0)), 0)</f>
        <v>1.0697612695519792E-2</v>
      </c>
      <c r="G239">
        <f t="shared" si="6"/>
        <v>31632.258586389176</v>
      </c>
      <c r="H239">
        <f>IF(G239="", 0, IF(OR(A239=③資金配分!$D$1, A239=③資金配分!$D$2, B239=③資金配分!$D$1, B239=③資金配分!$D$2, C239=③資金配分!$D$1, C239=③資金配分!$D$2), 0, IF(OR(A239=③資金配分!$D$4, A239=③資金配分!$D$5, A239=③資金配分!$D$6, B239=③資金配分!$D$4, B239=③資金配分!$D$5, B239=③資金配分!$D$6, C239=③資金配分!$D$4, C239=③資金配分!$D$5, C239=③資金配分!$D$6), 0, IF(AND(③資金配分!$B$8&gt;0, G239&lt;=③資金配分!$B$8), 1, 0))))</f>
        <v>0</v>
      </c>
      <c r="I239">
        <f t="shared" si="7"/>
        <v>0</v>
      </c>
      <c r="J239">
        <f>IF(I239&gt;0, ROUND((I239 / SUM($I$2:$I$817)) * ③資金配分!$B$7, -2), 0)</f>
        <v>0</v>
      </c>
    </row>
    <row r="240" spans="1:10" x14ac:dyDescent="0.4">
      <c r="A240">
        <v>2</v>
      </c>
      <c r="B240">
        <v>12</v>
      </c>
      <c r="C240">
        <v>16</v>
      </c>
      <c r="D240">
        <f>IFERROR(IF(_xlfn.XLOOKUP(A240, ①オッズ入力!$A$2:$A$19, ①オッズ入力!$D$2:$D$19, "")="", 0, _xlfn.XLOOKUP(A240, ①オッズ入力!$A$2:$A$19, ①オッズ入力!$D$2:$D$19, 0)), 0)</f>
        <v>0.19850014668353391</v>
      </c>
      <c r="E240">
        <f>IFERROR(IF(_xlfn.XLOOKUP(B240, ①オッズ入力!$A$2:$A$19, ①オッズ入力!$D$2:$D$19, "")="", 0, _xlfn.XLOOKUP(B240, ①オッズ入力!$A$2:$A$19, ①オッズ入力!$D$2:$D$19, 0)), 0)</f>
        <v>1.4887511001265043E-2</v>
      </c>
      <c r="F240">
        <f>IFERROR(IF(_xlfn.XLOOKUP(C240, ①オッズ入力!$A$2:$A$19, ①オッズ入力!$D$2:$D$19, "")="", 0, _xlfn.XLOOKUP(C240, ①オッズ入力!$A$2:$A$19, ①オッズ入力!$D$2:$D$19, 0)), 0)</f>
        <v>9.8701730395127345E-3</v>
      </c>
      <c r="G240">
        <f t="shared" si="6"/>
        <v>34284.064695427791</v>
      </c>
      <c r="H240">
        <f>IF(G240="", 0, IF(OR(A240=③資金配分!$D$1, A240=③資金配分!$D$2, B240=③資金配分!$D$1, B240=③資金配分!$D$2, C240=③資金配分!$D$1, C240=③資金配分!$D$2), 0, IF(OR(A240=③資金配分!$D$4, A240=③資金配分!$D$5, A240=③資金配分!$D$6, B240=③資金配分!$D$4, B240=③資金配分!$D$5, B240=③資金配分!$D$6, C240=③資金配分!$D$4, C240=③資金配分!$D$5, C240=③資金配分!$D$6), 0, IF(AND(③資金配分!$B$8&gt;0, G240&lt;=③資金配分!$B$8), 1, 0))))</f>
        <v>0</v>
      </c>
      <c r="I240">
        <f t="shared" si="7"/>
        <v>0</v>
      </c>
      <c r="J240">
        <f>IF(I240&gt;0, ROUND((I240 / SUM($I$2:$I$817)) * ③資金配分!$B$7, -2), 0)</f>
        <v>0</v>
      </c>
    </row>
    <row r="241" spans="1:10" x14ac:dyDescent="0.4">
      <c r="A241">
        <v>2</v>
      </c>
      <c r="B241">
        <v>12</v>
      </c>
      <c r="C241">
        <v>17</v>
      </c>
      <c r="D241">
        <f>IFERROR(IF(_xlfn.XLOOKUP(A241, ①オッズ入力!$A$2:$A$19, ①オッズ入力!$D$2:$D$19, "")="", 0, _xlfn.XLOOKUP(A241, ①オッズ入力!$A$2:$A$19, ①オッズ入力!$D$2:$D$19, 0)), 0)</f>
        <v>0.19850014668353391</v>
      </c>
      <c r="E241">
        <f>IFERROR(IF(_xlfn.XLOOKUP(B241, ①オッズ入力!$A$2:$A$19, ①オッズ入力!$D$2:$D$19, "")="", 0, _xlfn.XLOOKUP(B241, ①オッズ入力!$A$2:$A$19, ①オッズ入力!$D$2:$D$19, 0)), 0)</f>
        <v>1.4887511001265043E-2</v>
      </c>
      <c r="F241">
        <f>IFERROR(IF(_xlfn.XLOOKUP(C241, ①オッズ入力!$A$2:$A$19, ①オッズ入力!$D$2:$D$19, "")="", 0, _xlfn.XLOOKUP(C241, ①オッズ入力!$A$2:$A$19, ①オッズ入力!$D$2:$D$19, 0)), 0)</f>
        <v>9.1615452315477186E-3</v>
      </c>
      <c r="G241">
        <f t="shared" si="6"/>
        <v>36935.870804466402</v>
      </c>
      <c r="H241">
        <f>IF(G241="", 0, IF(OR(A241=③資金配分!$D$1, A241=③資金配分!$D$2, B241=③資金配分!$D$1, B241=③資金配分!$D$2, C241=③資金配分!$D$1, C241=③資金配分!$D$2), 0, IF(OR(A241=③資金配分!$D$4, A241=③資金配分!$D$5, A241=③資金配分!$D$6, B241=③資金配分!$D$4, B241=③資金配分!$D$5, B241=③資金配分!$D$6, C241=③資金配分!$D$4, C241=③資金配分!$D$5, C241=③資金配分!$D$6), 0, IF(AND(③資金配分!$B$8&gt;0, G241&lt;=③資金配分!$B$8), 1, 0))))</f>
        <v>0</v>
      </c>
      <c r="I241">
        <f t="shared" si="7"/>
        <v>0</v>
      </c>
      <c r="J241">
        <f>IF(I241&gt;0, ROUND((I241 / SUM($I$2:$I$817)) * ③資金配分!$B$7, -2), 0)</f>
        <v>0</v>
      </c>
    </row>
    <row r="242" spans="1:10" x14ac:dyDescent="0.4">
      <c r="A242">
        <v>2</v>
      </c>
      <c r="B242">
        <v>12</v>
      </c>
      <c r="C242">
        <v>18</v>
      </c>
      <c r="D242">
        <f>IFERROR(IF(_xlfn.XLOOKUP(A242, ①オッズ入力!$A$2:$A$19, ①オッズ入力!$D$2:$D$19, "")="", 0, _xlfn.XLOOKUP(A242, ①オッズ入力!$A$2:$A$19, ①オッズ入力!$D$2:$D$19, 0)), 0)</f>
        <v>0.19850014668353391</v>
      </c>
      <c r="E242">
        <f>IFERROR(IF(_xlfn.XLOOKUP(B242, ①オッズ入力!$A$2:$A$19, ①オッズ入力!$D$2:$D$19, "")="", 0, _xlfn.XLOOKUP(B242, ①オッズ入力!$A$2:$A$19, ①オッズ入力!$D$2:$D$19, 0)), 0)</f>
        <v>1.4887511001265043E-2</v>
      </c>
      <c r="F242">
        <f>IFERROR(IF(_xlfn.XLOOKUP(C242, ①オッズ入力!$A$2:$A$19, ①オッズ入力!$D$2:$D$19, "")="", 0, _xlfn.XLOOKUP(C242, ①オッズ入力!$A$2:$A$19, ①オッズ入力!$D$2:$D$19, 0)), 0)</f>
        <v>8.5478532064679671E-3</v>
      </c>
      <c r="G242">
        <f t="shared" si="6"/>
        <v>39587.676913505013</v>
      </c>
      <c r="H242">
        <f>IF(G242="", 0, IF(OR(A242=③資金配分!$D$1, A242=③資金配分!$D$2, B242=③資金配分!$D$1, B242=③資金配分!$D$2, C242=③資金配分!$D$1, C242=③資金配分!$D$2), 0, IF(OR(A242=③資金配分!$D$4, A242=③資金配分!$D$5, A242=③資金配分!$D$6, B242=③資金配分!$D$4, B242=③資金配分!$D$5, B242=③資金配分!$D$6, C242=③資金配分!$D$4, C242=③資金配分!$D$5, C242=③資金配分!$D$6), 0, IF(AND(③資金配分!$B$8&gt;0, G242&lt;=③資金配分!$B$8), 1, 0))))</f>
        <v>0</v>
      </c>
      <c r="I242">
        <f t="shared" si="7"/>
        <v>0</v>
      </c>
      <c r="J242">
        <f>IF(I242&gt;0, ROUND((I242 / SUM($I$2:$I$817)) * ③資金配分!$B$7, -2), 0)</f>
        <v>0</v>
      </c>
    </row>
    <row r="243" spans="1:10" x14ac:dyDescent="0.4">
      <c r="A243">
        <v>2</v>
      </c>
      <c r="B243">
        <v>13</v>
      </c>
      <c r="C243">
        <v>14</v>
      </c>
      <c r="D243">
        <f>IFERROR(IF(_xlfn.XLOOKUP(A243, ①オッズ入力!$A$2:$A$19, ①オッズ入力!$D$2:$D$19, "")="", 0, _xlfn.XLOOKUP(A243, ①オッズ入力!$A$2:$A$19, ①オッズ入力!$D$2:$D$19, 0)), 0)</f>
        <v>0.19850014668353391</v>
      </c>
      <c r="E243">
        <f>IFERROR(IF(_xlfn.XLOOKUP(B243, ①オッズ入力!$A$2:$A$19, ①オッズ入力!$D$2:$D$19, "")="", 0, _xlfn.XLOOKUP(B243, ①オッズ入力!$A$2:$A$19, ①オッズ入力!$D$2:$D$19, 0)), 0)</f>
        <v>1.2760723715370036E-2</v>
      </c>
      <c r="F243">
        <f>IFERROR(IF(_xlfn.XLOOKUP(C243, ①オッズ入力!$A$2:$A$19, ①オッズ入力!$D$2:$D$19, "")="", 0, _xlfn.XLOOKUP(C243, ①オッズ入力!$A$2:$A$19, ①オッズ入力!$D$2:$D$19, 0)), 0)</f>
        <v>1.1525814968721322E-2</v>
      </c>
      <c r="G243">
        <f t="shared" si="6"/>
        <v>34252.495575082095</v>
      </c>
      <c r="H243">
        <f>IF(G243="", 0, IF(OR(A243=③資金配分!$D$1, A243=③資金配分!$D$2, B243=③資金配分!$D$1, B243=③資金配分!$D$2, C243=③資金配分!$D$1, C243=③資金配分!$D$2), 0, IF(OR(A243=③資金配分!$D$4, A243=③資金配分!$D$5, A243=③資金配分!$D$6, B243=③資金配分!$D$4, B243=③資金配分!$D$5, B243=③資金配分!$D$6, C243=③資金配分!$D$4, C243=③資金配分!$D$5, C243=③資金配分!$D$6), 0, IF(AND(③資金配分!$B$8&gt;0, G243&lt;=③資金配分!$B$8), 1, 0))))</f>
        <v>0</v>
      </c>
      <c r="I243">
        <f t="shared" si="7"/>
        <v>0</v>
      </c>
      <c r="J243">
        <f>IF(I243&gt;0, ROUND((I243 / SUM($I$2:$I$817)) * ③資金配分!$B$7, -2), 0)</f>
        <v>0</v>
      </c>
    </row>
    <row r="244" spans="1:10" x14ac:dyDescent="0.4">
      <c r="A244">
        <v>2</v>
      </c>
      <c r="B244">
        <v>13</v>
      </c>
      <c r="C244">
        <v>15</v>
      </c>
      <c r="D244">
        <f>IFERROR(IF(_xlfn.XLOOKUP(A244, ①オッズ入力!$A$2:$A$19, ①オッズ入力!$D$2:$D$19, "")="", 0, _xlfn.XLOOKUP(A244, ①オッズ入力!$A$2:$A$19, ①オッズ入力!$D$2:$D$19, 0)), 0)</f>
        <v>0.19850014668353391</v>
      </c>
      <c r="E244">
        <f>IFERROR(IF(_xlfn.XLOOKUP(B244, ①オッズ入力!$A$2:$A$19, ①オッズ入力!$D$2:$D$19, "")="", 0, _xlfn.XLOOKUP(B244, ①オッズ入力!$A$2:$A$19, ①オッズ入力!$D$2:$D$19, 0)), 0)</f>
        <v>1.2760723715370036E-2</v>
      </c>
      <c r="F244">
        <f>IFERROR(IF(_xlfn.XLOOKUP(C244, ①オッズ入力!$A$2:$A$19, ①オッズ入力!$D$2:$D$19, "")="", 0, _xlfn.XLOOKUP(C244, ①オッズ入力!$A$2:$A$19, ①オッズ入力!$D$2:$D$19, 0)), 0)</f>
        <v>1.0697612695519792E-2</v>
      </c>
      <c r="G244">
        <f t="shared" si="6"/>
        <v>36904.301684120706</v>
      </c>
      <c r="H244">
        <f>IF(G244="", 0, IF(OR(A244=③資金配分!$D$1, A244=③資金配分!$D$2, B244=③資金配分!$D$1, B244=③資金配分!$D$2, C244=③資金配分!$D$1, C244=③資金配分!$D$2), 0, IF(OR(A244=③資金配分!$D$4, A244=③資金配分!$D$5, A244=③資金配分!$D$6, B244=③資金配分!$D$4, B244=③資金配分!$D$5, B244=③資金配分!$D$6, C244=③資金配分!$D$4, C244=③資金配分!$D$5, C244=③資金配分!$D$6), 0, IF(AND(③資金配分!$B$8&gt;0, G244&lt;=③資金配分!$B$8), 1, 0))))</f>
        <v>0</v>
      </c>
      <c r="I244">
        <f t="shared" si="7"/>
        <v>0</v>
      </c>
      <c r="J244">
        <f>IF(I244&gt;0, ROUND((I244 / SUM($I$2:$I$817)) * ③資金配分!$B$7, -2), 0)</f>
        <v>0</v>
      </c>
    </row>
    <row r="245" spans="1:10" x14ac:dyDescent="0.4">
      <c r="A245">
        <v>2</v>
      </c>
      <c r="B245">
        <v>13</v>
      </c>
      <c r="C245">
        <v>16</v>
      </c>
      <c r="D245">
        <f>IFERROR(IF(_xlfn.XLOOKUP(A245, ①オッズ入力!$A$2:$A$19, ①オッズ入力!$D$2:$D$19, "")="", 0, _xlfn.XLOOKUP(A245, ①オッズ入力!$A$2:$A$19, ①オッズ入力!$D$2:$D$19, 0)), 0)</f>
        <v>0.19850014668353391</v>
      </c>
      <c r="E245">
        <f>IFERROR(IF(_xlfn.XLOOKUP(B245, ①オッズ入力!$A$2:$A$19, ①オッズ入力!$D$2:$D$19, "")="", 0, _xlfn.XLOOKUP(B245, ①オッズ入力!$A$2:$A$19, ①オッズ入力!$D$2:$D$19, 0)), 0)</f>
        <v>1.2760723715370036E-2</v>
      </c>
      <c r="F245">
        <f>IFERROR(IF(_xlfn.XLOOKUP(C245, ①オッズ入力!$A$2:$A$19, ①オッズ入力!$D$2:$D$19, "")="", 0, _xlfn.XLOOKUP(C245, ①オッズ入力!$A$2:$A$19, ①オッズ入力!$D$2:$D$19, 0)), 0)</f>
        <v>9.8701730395127345E-3</v>
      </c>
      <c r="G245">
        <f t="shared" si="6"/>
        <v>39998.075477999089</v>
      </c>
      <c r="H245">
        <f>IF(G245="", 0, IF(OR(A245=③資金配分!$D$1, A245=③資金配分!$D$2, B245=③資金配分!$D$1, B245=③資金配分!$D$2, C245=③資金配分!$D$1, C245=③資金配分!$D$2), 0, IF(OR(A245=③資金配分!$D$4, A245=③資金配分!$D$5, A245=③資金配分!$D$6, B245=③資金配分!$D$4, B245=③資金配分!$D$5, B245=③資金配分!$D$6, C245=③資金配分!$D$4, C245=③資金配分!$D$5, C245=③資金配分!$D$6), 0, IF(AND(③資金配分!$B$8&gt;0, G245&lt;=③資金配分!$B$8), 1, 0))))</f>
        <v>0</v>
      </c>
      <c r="I245">
        <f t="shared" si="7"/>
        <v>0</v>
      </c>
      <c r="J245">
        <f>IF(I245&gt;0, ROUND((I245 / SUM($I$2:$I$817)) * ③資金配分!$B$7, -2), 0)</f>
        <v>0</v>
      </c>
    </row>
    <row r="246" spans="1:10" x14ac:dyDescent="0.4">
      <c r="A246">
        <v>2</v>
      </c>
      <c r="B246">
        <v>13</v>
      </c>
      <c r="C246">
        <v>17</v>
      </c>
      <c r="D246">
        <f>IFERROR(IF(_xlfn.XLOOKUP(A246, ①オッズ入力!$A$2:$A$19, ①オッズ入力!$D$2:$D$19, "")="", 0, _xlfn.XLOOKUP(A246, ①オッズ入力!$A$2:$A$19, ①オッズ入力!$D$2:$D$19, 0)), 0)</f>
        <v>0.19850014668353391</v>
      </c>
      <c r="E246">
        <f>IFERROR(IF(_xlfn.XLOOKUP(B246, ①オッズ入力!$A$2:$A$19, ①オッズ入力!$D$2:$D$19, "")="", 0, _xlfn.XLOOKUP(B246, ①オッズ入力!$A$2:$A$19, ①オッズ入力!$D$2:$D$19, 0)), 0)</f>
        <v>1.2760723715370036E-2</v>
      </c>
      <c r="F246">
        <f>IFERROR(IF(_xlfn.XLOOKUP(C246, ①オッズ入力!$A$2:$A$19, ①オッズ入力!$D$2:$D$19, "")="", 0, _xlfn.XLOOKUP(C246, ①オッズ入力!$A$2:$A$19, ①オッズ入力!$D$2:$D$19, 0)), 0)</f>
        <v>9.1615452315477186E-3</v>
      </c>
      <c r="G246">
        <f t="shared" si="6"/>
        <v>43091.849271877472</v>
      </c>
      <c r="H246">
        <f>IF(G246="", 0, IF(OR(A246=③資金配分!$D$1, A246=③資金配分!$D$2, B246=③資金配分!$D$1, B246=③資金配分!$D$2, C246=③資金配分!$D$1, C246=③資金配分!$D$2), 0, IF(OR(A246=③資金配分!$D$4, A246=③資金配分!$D$5, A246=③資金配分!$D$6, B246=③資金配分!$D$4, B246=③資金配分!$D$5, B246=③資金配分!$D$6, C246=③資金配分!$D$4, C246=③資金配分!$D$5, C246=③資金配分!$D$6), 0, IF(AND(③資金配分!$B$8&gt;0, G246&lt;=③資金配分!$B$8), 1, 0))))</f>
        <v>0</v>
      </c>
      <c r="I246">
        <f t="shared" si="7"/>
        <v>0</v>
      </c>
      <c r="J246">
        <f>IF(I246&gt;0, ROUND((I246 / SUM($I$2:$I$817)) * ③資金配分!$B$7, -2), 0)</f>
        <v>0</v>
      </c>
    </row>
    <row r="247" spans="1:10" x14ac:dyDescent="0.4">
      <c r="A247">
        <v>2</v>
      </c>
      <c r="B247">
        <v>13</v>
      </c>
      <c r="C247">
        <v>18</v>
      </c>
      <c r="D247">
        <f>IFERROR(IF(_xlfn.XLOOKUP(A247, ①オッズ入力!$A$2:$A$19, ①オッズ入力!$D$2:$D$19, "")="", 0, _xlfn.XLOOKUP(A247, ①オッズ入力!$A$2:$A$19, ①オッズ入力!$D$2:$D$19, 0)), 0)</f>
        <v>0.19850014668353391</v>
      </c>
      <c r="E247">
        <f>IFERROR(IF(_xlfn.XLOOKUP(B247, ①オッズ入力!$A$2:$A$19, ①オッズ入力!$D$2:$D$19, "")="", 0, _xlfn.XLOOKUP(B247, ①オッズ入力!$A$2:$A$19, ①オッズ入力!$D$2:$D$19, 0)), 0)</f>
        <v>1.2760723715370036E-2</v>
      </c>
      <c r="F247">
        <f>IFERROR(IF(_xlfn.XLOOKUP(C247, ①オッズ入力!$A$2:$A$19, ①オッズ入力!$D$2:$D$19, "")="", 0, _xlfn.XLOOKUP(C247, ①オッズ入力!$A$2:$A$19, ①オッズ入力!$D$2:$D$19, 0)), 0)</f>
        <v>8.5478532064679671E-3</v>
      </c>
      <c r="G247">
        <f t="shared" si="6"/>
        <v>46185.623065755855</v>
      </c>
      <c r="H247">
        <f>IF(G247="", 0, IF(OR(A247=③資金配分!$D$1, A247=③資金配分!$D$2, B247=③資金配分!$D$1, B247=③資金配分!$D$2, C247=③資金配分!$D$1, C247=③資金配分!$D$2), 0, IF(OR(A247=③資金配分!$D$4, A247=③資金配分!$D$5, A247=③資金配分!$D$6, B247=③資金配分!$D$4, B247=③資金配分!$D$5, B247=③資金配分!$D$6, C247=③資金配分!$D$4, C247=③資金配分!$D$5, C247=③資金配分!$D$6), 0, IF(AND(③資金配分!$B$8&gt;0, G247&lt;=③資金配分!$B$8), 1, 0))))</f>
        <v>0</v>
      </c>
      <c r="I247">
        <f t="shared" si="7"/>
        <v>0</v>
      </c>
      <c r="J247">
        <f>IF(I247&gt;0, ROUND((I247 / SUM($I$2:$I$817)) * ③資金配分!$B$7, -2), 0)</f>
        <v>0</v>
      </c>
    </row>
    <row r="248" spans="1:10" x14ac:dyDescent="0.4">
      <c r="A248">
        <v>2</v>
      </c>
      <c r="B248">
        <v>14</v>
      </c>
      <c r="C248">
        <v>15</v>
      </c>
      <c r="D248">
        <f>IFERROR(IF(_xlfn.XLOOKUP(A248, ①オッズ入力!$A$2:$A$19, ①オッズ入力!$D$2:$D$19, "")="", 0, _xlfn.XLOOKUP(A248, ①オッズ入力!$A$2:$A$19, ①オッズ入力!$D$2:$D$19, 0)), 0)</f>
        <v>0.19850014668353391</v>
      </c>
      <c r="E248">
        <f>IFERROR(IF(_xlfn.XLOOKUP(B248, ①オッズ入力!$A$2:$A$19, ①オッズ入力!$D$2:$D$19, "")="", 0, _xlfn.XLOOKUP(B248, ①オッズ入力!$A$2:$A$19, ①オッズ入力!$D$2:$D$19, 0)), 0)</f>
        <v>1.1525814968721322E-2</v>
      </c>
      <c r="F248">
        <f>IFERROR(IF(_xlfn.XLOOKUP(C248, ①オッズ入力!$A$2:$A$19, ①オッズ入力!$D$2:$D$19, "")="", 0, _xlfn.XLOOKUP(C248, ①オッズ入力!$A$2:$A$19, ①オッズ入力!$D$2:$D$19, 0)), 0)</f>
        <v>1.0697612695519792E-2</v>
      </c>
      <c r="G248">
        <f t="shared" si="6"/>
        <v>40858.334007419347</v>
      </c>
      <c r="H248">
        <f>IF(G248="", 0, IF(OR(A248=③資金配分!$D$1, A248=③資金配分!$D$2, B248=③資金配分!$D$1, B248=③資金配分!$D$2, C248=③資金配分!$D$1, C248=③資金配分!$D$2), 0, IF(OR(A248=③資金配分!$D$4, A248=③資金配分!$D$5, A248=③資金配分!$D$6, B248=③資金配分!$D$4, B248=③資金配分!$D$5, B248=③資金配分!$D$6, C248=③資金配分!$D$4, C248=③資金配分!$D$5, C248=③資金配分!$D$6), 0, IF(AND(③資金配分!$B$8&gt;0, G248&lt;=③資金配分!$B$8), 1, 0))))</f>
        <v>0</v>
      </c>
      <c r="I248">
        <f t="shared" si="7"/>
        <v>0</v>
      </c>
      <c r="J248">
        <f>IF(I248&gt;0, ROUND((I248 / SUM($I$2:$I$817)) * ③資金配分!$B$7, -2), 0)</f>
        <v>0</v>
      </c>
    </row>
    <row r="249" spans="1:10" x14ac:dyDescent="0.4">
      <c r="A249">
        <v>2</v>
      </c>
      <c r="B249">
        <v>14</v>
      </c>
      <c r="C249">
        <v>16</v>
      </c>
      <c r="D249">
        <f>IFERROR(IF(_xlfn.XLOOKUP(A249, ①オッズ入力!$A$2:$A$19, ①オッズ入力!$D$2:$D$19, "")="", 0, _xlfn.XLOOKUP(A249, ①オッズ入力!$A$2:$A$19, ①オッズ入力!$D$2:$D$19, 0)), 0)</f>
        <v>0.19850014668353391</v>
      </c>
      <c r="E249">
        <f>IFERROR(IF(_xlfn.XLOOKUP(B249, ①オッズ入力!$A$2:$A$19, ①オッズ入力!$D$2:$D$19, "")="", 0, _xlfn.XLOOKUP(B249, ①オッズ入力!$A$2:$A$19, ①オッズ入力!$D$2:$D$19, 0)), 0)</f>
        <v>1.1525814968721322E-2</v>
      </c>
      <c r="F249">
        <f>IFERROR(IF(_xlfn.XLOOKUP(C249, ①オッズ入力!$A$2:$A$19, ①オッズ入力!$D$2:$D$19, "")="", 0, _xlfn.XLOOKUP(C249, ①オッズ入力!$A$2:$A$19, ①オッズ入力!$D$2:$D$19, 0)), 0)</f>
        <v>9.8701730395127345E-3</v>
      </c>
      <c r="G249">
        <f t="shared" si="6"/>
        <v>44283.583564927569</v>
      </c>
      <c r="H249">
        <f>IF(G249="", 0, IF(OR(A249=③資金配分!$D$1, A249=③資金配分!$D$2, B249=③資金配分!$D$1, B249=③資金配分!$D$2, C249=③資金配分!$D$1, C249=③資金配分!$D$2), 0, IF(OR(A249=③資金配分!$D$4, A249=③資金配分!$D$5, A249=③資金配分!$D$6, B249=③資金配分!$D$4, B249=③資金配分!$D$5, B249=③資金配分!$D$6, C249=③資金配分!$D$4, C249=③資金配分!$D$5, C249=③資金配分!$D$6), 0, IF(AND(③資金配分!$B$8&gt;0, G249&lt;=③資金配分!$B$8), 1, 0))))</f>
        <v>0</v>
      </c>
      <c r="I249">
        <f t="shared" si="7"/>
        <v>0</v>
      </c>
      <c r="J249">
        <f>IF(I249&gt;0, ROUND((I249 / SUM($I$2:$I$817)) * ③資金配分!$B$7, -2), 0)</f>
        <v>0</v>
      </c>
    </row>
    <row r="250" spans="1:10" x14ac:dyDescent="0.4">
      <c r="A250">
        <v>2</v>
      </c>
      <c r="B250">
        <v>14</v>
      </c>
      <c r="C250">
        <v>17</v>
      </c>
      <c r="D250">
        <f>IFERROR(IF(_xlfn.XLOOKUP(A250, ①オッズ入力!$A$2:$A$19, ①オッズ入力!$D$2:$D$19, "")="", 0, _xlfn.XLOOKUP(A250, ①オッズ入力!$A$2:$A$19, ①オッズ入力!$D$2:$D$19, 0)), 0)</f>
        <v>0.19850014668353391</v>
      </c>
      <c r="E250">
        <f>IFERROR(IF(_xlfn.XLOOKUP(B250, ①オッズ入力!$A$2:$A$19, ①オッズ入力!$D$2:$D$19, "")="", 0, _xlfn.XLOOKUP(B250, ①オッズ入力!$A$2:$A$19, ①オッズ入力!$D$2:$D$19, 0)), 0)</f>
        <v>1.1525814968721322E-2</v>
      </c>
      <c r="F250">
        <f>IFERROR(IF(_xlfn.XLOOKUP(C250, ①オッズ入力!$A$2:$A$19, ①オッズ入力!$D$2:$D$19, "")="", 0, _xlfn.XLOOKUP(C250, ①オッズ入力!$A$2:$A$19, ①オッズ入力!$D$2:$D$19, 0)), 0)</f>
        <v>9.1615452315477186E-3</v>
      </c>
      <c r="G250">
        <f t="shared" si="6"/>
        <v>47708.833122435775</v>
      </c>
      <c r="H250">
        <f>IF(G250="", 0, IF(OR(A250=③資金配分!$D$1, A250=③資金配分!$D$2, B250=③資金配分!$D$1, B250=③資金配分!$D$2, C250=③資金配分!$D$1, C250=③資金配分!$D$2), 0, IF(OR(A250=③資金配分!$D$4, A250=③資金配分!$D$5, A250=③資金配分!$D$6, B250=③資金配分!$D$4, B250=③資金配分!$D$5, B250=③資金配分!$D$6, C250=③資金配分!$D$4, C250=③資金配分!$D$5, C250=③資金配分!$D$6), 0, IF(AND(③資金配分!$B$8&gt;0, G250&lt;=③資金配分!$B$8), 1, 0))))</f>
        <v>0</v>
      </c>
      <c r="I250">
        <f t="shared" si="7"/>
        <v>0</v>
      </c>
      <c r="J250">
        <f>IF(I250&gt;0, ROUND((I250 / SUM($I$2:$I$817)) * ③資金配分!$B$7, -2), 0)</f>
        <v>0</v>
      </c>
    </row>
    <row r="251" spans="1:10" x14ac:dyDescent="0.4">
      <c r="A251">
        <v>2</v>
      </c>
      <c r="B251">
        <v>14</v>
      </c>
      <c r="C251">
        <v>18</v>
      </c>
      <c r="D251">
        <f>IFERROR(IF(_xlfn.XLOOKUP(A251, ①オッズ入力!$A$2:$A$19, ①オッズ入力!$D$2:$D$19, "")="", 0, _xlfn.XLOOKUP(A251, ①オッズ入力!$A$2:$A$19, ①オッズ入力!$D$2:$D$19, 0)), 0)</f>
        <v>0.19850014668353391</v>
      </c>
      <c r="E251">
        <f>IFERROR(IF(_xlfn.XLOOKUP(B251, ①オッズ入力!$A$2:$A$19, ①オッズ入力!$D$2:$D$19, "")="", 0, _xlfn.XLOOKUP(B251, ①オッズ入力!$A$2:$A$19, ①オッズ入力!$D$2:$D$19, 0)), 0)</f>
        <v>1.1525814968721322E-2</v>
      </c>
      <c r="F251">
        <f>IFERROR(IF(_xlfn.XLOOKUP(C251, ①オッズ入力!$A$2:$A$19, ①オッズ入力!$D$2:$D$19, "")="", 0, _xlfn.XLOOKUP(C251, ①オッズ入力!$A$2:$A$19, ①オッズ入力!$D$2:$D$19, 0)), 0)</f>
        <v>8.5478532064679671E-3</v>
      </c>
      <c r="G251">
        <f t="shared" si="6"/>
        <v>51134.082679943982</v>
      </c>
      <c r="H251">
        <f>IF(G251="", 0, IF(OR(A251=③資金配分!$D$1, A251=③資金配分!$D$2, B251=③資金配分!$D$1, B251=③資金配分!$D$2, C251=③資金配分!$D$1, C251=③資金配分!$D$2), 0, IF(OR(A251=③資金配分!$D$4, A251=③資金配分!$D$5, A251=③資金配分!$D$6, B251=③資金配分!$D$4, B251=③資金配分!$D$5, B251=③資金配分!$D$6, C251=③資金配分!$D$4, C251=③資金配分!$D$5, C251=③資金配分!$D$6), 0, IF(AND(③資金配分!$B$8&gt;0, G251&lt;=③資金配分!$B$8), 1, 0))))</f>
        <v>0</v>
      </c>
      <c r="I251">
        <f t="shared" si="7"/>
        <v>0</v>
      </c>
      <c r="J251">
        <f>IF(I251&gt;0, ROUND((I251 / SUM($I$2:$I$817)) * ③資金配分!$B$7, -2), 0)</f>
        <v>0</v>
      </c>
    </row>
    <row r="252" spans="1:10" x14ac:dyDescent="0.4">
      <c r="A252">
        <v>2</v>
      </c>
      <c r="B252">
        <v>15</v>
      </c>
      <c r="C252">
        <v>16</v>
      </c>
      <c r="D252">
        <f>IFERROR(IF(_xlfn.XLOOKUP(A252, ①オッズ入力!$A$2:$A$19, ①オッズ入力!$D$2:$D$19, "")="", 0, _xlfn.XLOOKUP(A252, ①オッズ入力!$A$2:$A$19, ①オッズ入力!$D$2:$D$19, 0)), 0)</f>
        <v>0.19850014668353391</v>
      </c>
      <c r="E252">
        <f>IFERROR(IF(_xlfn.XLOOKUP(B252, ①オッズ入力!$A$2:$A$19, ①オッズ入力!$D$2:$D$19, "")="", 0, _xlfn.XLOOKUP(B252, ①オッズ入力!$A$2:$A$19, ①オッズ入力!$D$2:$D$19, 0)), 0)</f>
        <v>1.0697612695519792E-2</v>
      </c>
      <c r="F252">
        <f>IFERROR(IF(_xlfn.XLOOKUP(C252, ①オッズ入力!$A$2:$A$19, ①オッズ入力!$D$2:$D$19, "")="", 0, _xlfn.XLOOKUP(C252, ①オッズ入力!$A$2:$A$19, ①オッズ入力!$D$2:$D$19, 0)), 0)</f>
        <v>9.8701730395127345E-3</v>
      </c>
      <c r="G252">
        <f t="shared" si="6"/>
        <v>47711.990034470342</v>
      </c>
      <c r="H252">
        <f>IF(G252="", 0, IF(OR(A252=③資金配分!$D$1, A252=③資金配分!$D$2, B252=③資金配分!$D$1, B252=③資金配分!$D$2, C252=③資金配分!$D$1, C252=③資金配分!$D$2), 0, IF(OR(A252=③資金配分!$D$4, A252=③資金配分!$D$5, A252=③資金配分!$D$6, B252=③資金配分!$D$4, B252=③資金配分!$D$5, B252=③資金配分!$D$6, C252=③資金配分!$D$4, C252=③資金配分!$D$5, C252=③資金配分!$D$6), 0, IF(AND(③資金配分!$B$8&gt;0, G252&lt;=③資金配分!$B$8), 1, 0))))</f>
        <v>0</v>
      </c>
      <c r="I252">
        <f t="shared" si="7"/>
        <v>0</v>
      </c>
      <c r="J252">
        <f>IF(I252&gt;0, ROUND((I252 / SUM($I$2:$I$817)) * ③資金配分!$B$7, -2), 0)</f>
        <v>0</v>
      </c>
    </row>
    <row r="253" spans="1:10" x14ac:dyDescent="0.4">
      <c r="A253">
        <v>2</v>
      </c>
      <c r="B253">
        <v>15</v>
      </c>
      <c r="C253">
        <v>17</v>
      </c>
      <c r="D253">
        <f>IFERROR(IF(_xlfn.XLOOKUP(A253, ①オッズ入力!$A$2:$A$19, ①オッズ入力!$D$2:$D$19, "")="", 0, _xlfn.XLOOKUP(A253, ①オッズ入力!$A$2:$A$19, ①オッズ入力!$D$2:$D$19, 0)), 0)</f>
        <v>0.19850014668353391</v>
      </c>
      <c r="E253">
        <f>IFERROR(IF(_xlfn.XLOOKUP(B253, ①オッズ入力!$A$2:$A$19, ①オッズ入力!$D$2:$D$19, "")="", 0, _xlfn.XLOOKUP(B253, ①オッズ入力!$A$2:$A$19, ①オッズ入力!$D$2:$D$19, 0)), 0)</f>
        <v>1.0697612695519792E-2</v>
      </c>
      <c r="F253">
        <f>IFERROR(IF(_xlfn.XLOOKUP(C253, ①オッズ入力!$A$2:$A$19, ①オッズ入力!$D$2:$D$19, "")="", 0, _xlfn.XLOOKUP(C253, ①オッズ入力!$A$2:$A$19, ①オッズ入力!$D$2:$D$19, 0)), 0)</f>
        <v>9.1615452315477186E-3</v>
      </c>
      <c r="G253">
        <f t="shared" si="6"/>
        <v>51402.4202028824</v>
      </c>
      <c r="H253">
        <f>IF(G253="", 0, IF(OR(A253=③資金配分!$D$1, A253=③資金配分!$D$2, B253=③資金配分!$D$1, B253=③資金配分!$D$2, C253=③資金配分!$D$1, C253=③資金配分!$D$2), 0, IF(OR(A253=③資金配分!$D$4, A253=③資金配分!$D$5, A253=③資金配分!$D$6, B253=③資金配分!$D$4, B253=③資金配分!$D$5, B253=③資金配分!$D$6, C253=③資金配分!$D$4, C253=③資金配分!$D$5, C253=③資金配分!$D$6), 0, IF(AND(③資金配分!$B$8&gt;0, G253&lt;=③資金配分!$B$8), 1, 0))))</f>
        <v>0</v>
      </c>
      <c r="I253">
        <f t="shared" si="7"/>
        <v>0</v>
      </c>
      <c r="J253">
        <f>IF(I253&gt;0, ROUND((I253 / SUM($I$2:$I$817)) * ③資金配分!$B$7, -2), 0)</f>
        <v>0</v>
      </c>
    </row>
    <row r="254" spans="1:10" x14ac:dyDescent="0.4">
      <c r="A254">
        <v>2</v>
      </c>
      <c r="B254">
        <v>15</v>
      </c>
      <c r="C254">
        <v>18</v>
      </c>
      <c r="D254">
        <f>IFERROR(IF(_xlfn.XLOOKUP(A254, ①オッズ入力!$A$2:$A$19, ①オッズ入力!$D$2:$D$19, "")="", 0, _xlfn.XLOOKUP(A254, ①オッズ入力!$A$2:$A$19, ①オッズ入力!$D$2:$D$19, 0)), 0)</f>
        <v>0.19850014668353391</v>
      </c>
      <c r="E254">
        <f>IFERROR(IF(_xlfn.XLOOKUP(B254, ①オッズ入力!$A$2:$A$19, ①オッズ入力!$D$2:$D$19, "")="", 0, _xlfn.XLOOKUP(B254, ①オッズ入力!$A$2:$A$19, ①オッズ入力!$D$2:$D$19, 0)), 0)</f>
        <v>1.0697612695519792E-2</v>
      </c>
      <c r="F254">
        <f>IFERROR(IF(_xlfn.XLOOKUP(C254, ①オッズ入力!$A$2:$A$19, ①オッズ入力!$D$2:$D$19, "")="", 0, _xlfn.XLOOKUP(C254, ①オッズ入力!$A$2:$A$19, ①オッズ入力!$D$2:$D$19, 0)), 0)</f>
        <v>8.5478532064679671E-3</v>
      </c>
      <c r="G254">
        <f t="shared" si="6"/>
        <v>55092.850371294473</v>
      </c>
      <c r="H254">
        <f>IF(G254="", 0, IF(OR(A254=③資金配分!$D$1, A254=③資金配分!$D$2, B254=③資金配分!$D$1, B254=③資金配分!$D$2, C254=③資金配分!$D$1, C254=③資金配分!$D$2), 0, IF(OR(A254=③資金配分!$D$4, A254=③資金配分!$D$5, A254=③資金配分!$D$6, B254=③資金配分!$D$4, B254=③資金配分!$D$5, B254=③資金配分!$D$6, C254=③資金配分!$D$4, C254=③資金配分!$D$5, C254=③資金配分!$D$6), 0, IF(AND(③資金配分!$B$8&gt;0, G254&lt;=③資金配分!$B$8), 1, 0))))</f>
        <v>0</v>
      </c>
      <c r="I254">
        <f t="shared" si="7"/>
        <v>0</v>
      </c>
      <c r="J254">
        <f>IF(I254&gt;0, ROUND((I254 / SUM($I$2:$I$817)) * ③資金配分!$B$7, -2), 0)</f>
        <v>0</v>
      </c>
    </row>
    <row r="255" spans="1:10" x14ac:dyDescent="0.4">
      <c r="A255">
        <v>2</v>
      </c>
      <c r="B255">
        <v>16</v>
      </c>
      <c r="C255">
        <v>17</v>
      </c>
      <c r="D255">
        <f>IFERROR(IF(_xlfn.XLOOKUP(A255, ①オッズ入力!$A$2:$A$19, ①オッズ入力!$D$2:$D$19, "")="", 0, _xlfn.XLOOKUP(A255, ①オッズ入力!$A$2:$A$19, ①オッズ入力!$D$2:$D$19, 0)), 0)</f>
        <v>0.19850014668353391</v>
      </c>
      <c r="E255">
        <f>IFERROR(IF(_xlfn.XLOOKUP(B255, ①オッズ入力!$A$2:$A$19, ①オッズ入力!$D$2:$D$19, "")="", 0, _xlfn.XLOOKUP(B255, ①オッズ入力!$A$2:$A$19, ①オッズ入力!$D$2:$D$19, 0)), 0)</f>
        <v>9.8701730395127345E-3</v>
      </c>
      <c r="F255">
        <f>IFERROR(IF(_xlfn.XLOOKUP(C255, ①オッズ入力!$A$2:$A$19, ①オッズ入力!$D$2:$D$19, "")="", 0, _xlfn.XLOOKUP(C255, ①オッズ入力!$A$2:$A$19, ①オッズ入力!$D$2:$D$19, 0)), 0)</f>
        <v>9.1615452315477186E-3</v>
      </c>
      <c r="G255">
        <f t="shared" si="6"/>
        <v>55711.605130070151</v>
      </c>
      <c r="H255">
        <f>IF(G255="", 0, IF(OR(A255=③資金配分!$D$1, A255=③資金配分!$D$2, B255=③資金配分!$D$1, B255=③資金配分!$D$2, C255=③資金配分!$D$1, C255=③資金配分!$D$2), 0, IF(OR(A255=③資金配分!$D$4, A255=③資金配分!$D$5, A255=③資金配分!$D$6, B255=③資金配分!$D$4, B255=③資金配分!$D$5, B255=③資金配分!$D$6, C255=③資金配分!$D$4, C255=③資金配分!$D$5, C255=③資金配分!$D$6), 0, IF(AND(③資金配分!$B$8&gt;0, G255&lt;=③資金配分!$B$8), 1, 0))))</f>
        <v>0</v>
      </c>
      <c r="I255">
        <f t="shared" si="7"/>
        <v>0</v>
      </c>
      <c r="J255">
        <f>IF(I255&gt;0, ROUND((I255 / SUM($I$2:$I$817)) * ③資金配分!$B$7, -2), 0)</f>
        <v>0</v>
      </c>
    </row>
    <row r="256" spans="1:10" x14ac:dyDescent="0.4">
      <c r="A256">
        <v>2</v>
      </c>
      <c r="B256">
        <v>16</v>
      </c>
      <c r="C256">
        <v>18</v>
      </c>
      <c r="D256">
        <f>IFERROR(IF(_xlfn.XLOOKUP(A256, ①オッズ入力!$A$2:$A$19, ①オッズ入力!$D$2:$D$19, "")="", 0, _xlfn.XLOOKUP(A256, ①オッズ入力!$A$2:$A$19, ①オッズ入力!$D$2:$D$19, 0)), 0)</f>
        <v>0.19850014668353391</v>
      </c>
      <c r="E256">
        <f>IFERROR(IF(_xlfn.XLOOKUP(B256, ①オッズ入力!$A$2:$A$19, ①オッズ入力!$D$2:$D$19, "")="", 0, _xlfn.XLOOKUP(B256, ①オッズ入力!$A$2:$A$19, ①オッズ入力!$D$2:$D$19, 0)), 0)</f>
        <v>9.8701730395127345E-3</v>
      </c>
      <c r="F256">
        <f>IFERROR(IF(_xlfn.XLOOKUP(C256, ①オッズ入力!$A$2:$A$19, ①オッズ入力!$D$2:$D$19, "")="", 0, _xlfn.XLOOKUP(C256, ①オッズ入力!$A$2:$A$19, ①オッズ入力!$D$2:$D$19, 0)), 0)</f>
        <v>8.5478532064679671E-3</v>
      </c>
      <c r="G256">
        <f t="shared" si="6"/>
        <v>59711.412677870067</v>
      </c>
      <c r="H256">
        <f>IF(G256="", 0, IF(OR(A256=③資金配分!$D$1, A256=③資金配分!$D$2, B256=③資金配分!$D$1, B256=③資金配分!$D$2, C256=③資金配分!$D$1, C256=③資金配分!$D$2), 0, IF(OR(A256=③資金配分!$D$4, A256=③資金配分!$D$5, A256=③資金配分!$D$6, B256=③資金配分!$D$4, B256=③資金配分!$D$5, B256=③資金配分!$D$6, C256=③資金配分!$D$4, C256=③資金配分!$D$5, C256=③資金配分!$D$6), 0, IF(AND(③資金配分!$B$8&gt;0, G256&lt;=③資金配分!$B$8), 1, 0))))</f>
        <v>0</v>
      </c>
      <c r="I256">
        <f t="shared" si="7"/>
        <v>0</v>
      </c>
      <c r="J256">
        <f>IF(I256&gt;0, ROUND((I256 / SUM($I$2:$I$817)) * ③資金配分!$B$7, -2), 0)</f>
        <v>0</v>
      </c>
    </row>
    <row r="257" spans="1:10" x14ac:dyDescent="0.4">
      <c r="A257">
        <v>2</v>
      </c>
      <c r="B257">
        <v>17</v>
      </c>
      <c r="C257">
        <v>18</v>
      </c>
      <c r="D257">
        <f>IFERROR(IF(_xlfn.XLOOKUP(A257, ①オッズ入力!$A$2:$A$19, ①オッズ入力!$D$2:$D$19, "")="", 0, _xlfn.XLOOKUP(A257, ①オッズ入力!$A$2:$A$19, ①オッズ入力!$D$2:$D$19, 0)), 0)</f>
        <v>0.19850014668353391</v>
      </c>
      <c r="E257">
        <f>IFERROR(IF(_xlfn.XLOOKUP(B257, ①オッズ入力!$A$2:$A$19, ①オッズ入力!$D$2:$D$19, "")="", 0, _xlfn.XLOOKUP(B257, ①オッズ入力!$A$2:$A$19, ①オッズ入力!$D$2:$D$19, 0)), 0)</f>
        <v>9.1615452315477186E-3</v>
      </c>
      <c r="F257">
        <f>IFERROR(IF(_xlfn.XLOOKUP(C257, ①オッズ入力!$A$2:$A$19, ①オッズ入力!$D$2:$D$19, "")="", 0, _xlfn.XLOOKUP(C257, ①オッズ入力!$A$2:$A$19, ①オッズ入力!$D$2:$D$19, 0)), 0)</f>
        <v>8.5478532064679671E-3</v>
      </c>
      <c r="G257">
        <f t="shared" si="6"/>
        <v>64329.974984445646</v>
      </c>
      <c r="H257">
        <f>IF(G257="", 0, IF(OR(A257=③資金配分!$D$1, A257=③資金配分!$D$2, B257=③資金配分!$D$1, B257=③資金配分!$D$2, C257=③資金配分!$D$1, C257=③資金配分!$D$2), 0, IF(OR(A257=③資金配分!$D$4, A257=③資金配分!$D$5, A257=③資金配分!$D$6, B257=③資金配分!$D$4, B257=③資金配分!$D$5, B257=③資金配分!$D$6, C257=③資金配分!$D$4, C257=③資金配分!$D$5, C257=③資金配分!$D$6), 0, IF(AND(③資金配分!$B$8&gt;0, G257&lt;=③資金配分!$B$8), 1, 0))))</f>
        <v>0</v>
      </c>
      <c r="I257">
        <f t="shared" si="7"/>
        <v>0</v>
      </c>
      <c r="J257">
        <f>IF(I257&gt;0, ROUND((I257 / SUM($I$2:$I$817)) * ③資金配分!$B$7, -2), 0)</f>
        <v>0</v>
      </c>
    </row>
    <row r="258" spans="1:10" x14ac:dyDescent="0.4">
      <c r="A258">
        <v>3</v>
      </c>
      <c r="B258">
        <v>4</v>
      </c>
      <c r="C258">
        <v>5</v>
      </c>
      <c r="D258">
        <f>IFERROR(IF(_xlfn.XLOOKUP(A258, ①オッズ入力!$A$2:$A$19, ①オッズ入力!$D$2:$D$19, "")="", 0, _xlfn.XLOOKUP(A258, ①オッズ入力!$A$2:$A$19, ①オッズ入力!$D$2:$D$19, 0)), 0)</f>
        <v>0.17014298287160048</v>
      </c>
      <c r="E258">
        <f>IFERROR(IF(_xlfn.XLOOKUP(B258, ①オッズ入力!$A$2:$A$19, ①オッズ入力!$D$2:$D$19, "")="", 0, _xlfn.XLOOKUP(B258, ①オッズ入力!$A$2:$A$19, ①オッズ入力!$D$2:$D$19, 0)), 0)</f>
        <v>7.1460052806072205E-2</v>
      </c>
      <c r="F258">
        <f>IFERROR(IF(_xlfn.XLOOKUP(C258, ①オッズ入力!$A$2:$A$19, ①オッズ入力!$D$2:$D$19, "")="", 0, _xlfn.XLOOKUP(C258, ①オッズ入力!$A$2:$A$19, ①オッズ入力!$D$2:$D$19, 0)), 0)</f>
        <v>4.4662533003795128E-2</v>
      </c>
      <c r="G258">
        <f t="shared" si="6"/>
        <v>1841.5320201657041</v>
      </c>
      <c r="H258">
        <f>IF(G258="", 0, IF(OR(A258=③資金配分!$D$1, A258=③資金配分!$D$2, B258=③資金配分!$D$1, B258=③資金配分!$D$2, C258=③資金配分!$D$1, C258=③資金配分!$D$2), 0, IF(OR(A258=③資金配分!$D$4, A258=③資金配分!$D$5, A258=③資金配分!$D$6, B258=③資金配分!$D$4, B258=③資金配分!$D$5, B258=③資金配分!$D$6, C258=③資金配分!$D$4, C258=③資金配分!$D$5, C258=③資金配分!$D$6), 0, IF(AND(③資金配分!$B$8&gt;0, G258&lt;=③資金配分!$B$8), 1, 0))))</f>
        <v>0</v>
      </c>
      <c r="I258">
        <f t="shared" si="7"/>
        <v>0</v>
      </c>
      <c r="J258">
        <f>IF(I258&gt;0, ROUND((I258 / SUM($I$2:$I$817)) * ③資金配分!$B$7, -2), 0)</f>
        <v>0</v>
      </c>
    </row>
    <row r="259" spans="1:10" x14ac:dyDescent="0.4">
      <c r="A259">
        <v>3</v>
      </c>
      <c r="B259">
        <v>4</v>
      </c>
      <c r="C259">
        <v>6</v>
      </c>
      <c r="D259">
        <f>IFERROR(IF(_xlfn.XLOOKUP(A259, ①オッズ入力!$A$2:$A$19, ①オッズ入力!$D$2:$D$19, "")="", 0, _xlfn.XLOOKUP(A259, ①オッズ入力!$A$2:$A$19, ①オッズ入力!$D$2:$D$19, 0)), 0)</f>
        <v>0.17014298287160048</v>
      </c>
      <c r="E259">
        <f>IFERROR(IF(_xlfn.XLOOKUP(B259, ①オッズ入力!$A$2:$A$19, ①オッズ入力!$D$2:$D$19, "")="", 0, _xlfn.XLOOKUP(B259, ①オッズ入力!$A$2:$A$19, ①オッズ入力!$D$2:$D$19, 0)), 0)</f>
        <v>7.1460052806072205E-2</v>
      </c>
      <c r="F259">
        <f>IFERROR(IF(_xlfn.XLOOKUP(C259, ①オッズ入力!$A$2:$A$19, ①オッズ入力!$D$2:$D$19, "")="", 0, _xlfn.XLOOKUP(C259, ①オッズ入力!$A$2:$A$19, ①オッズ入力!$D$2:$D$19, 0)), 0)</f>
        <v>3.2481842184578273E-2</v>
      </c>
      <c r="G259">
        <f t="shared" ref="G259:G322" si="8">IF(OR(D259=0, E259=0, F259=0), "", 1/(D259*E259*F259))</f>
        <v>2532.1065277278431</v>
      </c>
      <c r="H259">
        <f>IF(G259="", 0, IF(OR(A259=③資金配分!$D$1, A259=③資金配分!$D$2, B259=③資金配分!$D$1, B259=③資金配分!$D$2, C259=③資金配分!$D$1, C259=③資金配分!$D$2), 0, IF(OR(A259=③資金配分!$D$4, A259=③資金配分!$D$5, A259=③資金配分!$D$6, B259=③資金配分!$D$4, B259=③資金配分!$D$5, B259=③資金配分!$D$6, C259=③資金配分!$D$4, C259=③資金配分!$D$5, C259=③資金配分!$D$6), 0, IF(AND(③資金配分!$B$8&gt;0, G259&lt;=③資金配分!$B$8), 1, 0))))</f>
        <v>0</v>
      </c>
      <c r="I259">
        <f t="shared" ref="I259:I322" si="9">IF(H259=1, 1/G259, 0)</f>
        <v>0</v>
      </c>
      <c r="J259">
        <f>IF(I259&gt;0, ROUND((I259 / SUM($I$2:$I$817)) * ③資金配分!$B$7, -2), 0)</f>
        <v>0</v>
      </c>
    </row>
    <row r="260" spans="1:10" x14ac:dyDescent="0.4">
      <c r="A260">
        <v>3</v>
      </c>
      <c r="B260">
        <v>4</v>
      </c>
      <c r="C260">
        <v>7</v>
      </c>
      <c r="D260">
        <f>IFERROR(IF(_xlfn.XLOOKUP(A260, ①オッズ入力!$A$2:$A$19, ①オッズ入力!$D$2:$D$19, "")="", 0, _xlfn.XLOOKUP(A260, ①オッズ入力!$A$2:$A$19, ①オッズ入力!$D$2:$D$19, 0)), 0)</f>
        <v>0.17014298287160048</v>
      </c>
      <c r="E260">
        <f>IFERROR(IF(_xlfn.XLOOKUP(B260, ①オッズ入力!$A$2:$A$19, ①オッズ入力!$D$2:$D$19, "")="", 0, _xlfn.XLOOKUP(B260, ①オッズ入力!$A$2:$A$19, ①オッズ入力!$D$2:$D$19, 0)), 0)</f>
        <v>7.1460052806072205E-2</v>
      </c>
      <c r="F260">
        <f>IFERROR(IF(_xlfn.XLOOKUP(C260, ①オッズ入力!$A$2:$A$19, ①オッズ入力!$D$2:$D$19, "")="", 0, _xlfn.XLOOKUP(C260, ①オッズ入力!$A$2:$A$19, ①オッズ入力!$D$2:$D$19, 0)), 0)</f>
        <v>2.9775022002530085E-2</v>
      </c>
      <c r="G260">
        <f t="shared" si="8"/>
        <v>2762.2980302485562</v>
      </c>
      <c r="H260">
        <f>IF(G260="", 0, IF(OR(A260=③資金配分!$D$1, A260=③資金配分!$D$2, B260=③資金配分!$D$1, B260=③資金配分!$D$2, C260=③資金配分!$D$1, C260=③資金配分!$D$2), 0, IF(OR(A260=③資金配分!$D$4, A260=③資金配分!$D$5, A260=③資金配分!$D$6, B260=③資金配分!$D$4, B260=③資金配分!$D$5, B260=③資金配分!$D$6, C260=③資金配分!$D$4, C260=③資金配分!$D$5, C260=③資金配分!$D$6), 0, IF(AND(③資金配分!$B$8&gt;0, G260&lt;=③資金配分!$B$8), 1, 0))))</f>
        <v>0</v>
      </c>
      <c r="I260">
        <f t="shared" si="9"/>
        <v>0</v>
      </c>
      <c r="J260">
        <f>IF(I260&gt;0, ROUND((I260 / SUM($I$2:$I$817)) * ③資金配分!$B$7, -2), 0)</f>
        <v>0</v>
      </c>
    </row>
    <row r="261" spans="1:10" x14ac:dyDescent="0.4">
      <c r="A261">
        <v>3</v>
      </c>
      <c r="B261">
        <v>4</v>
      </c>
      <c r="C261">
        <v>8</v>
      </c>
      <c r="D261">
        <f>IFERROR(IF(_xlfn.XLOOKUP(A261, ①オッズ入力!$A$2:$A$19, ①オッズ入力!$D$2:$D$19, "")="", 0, _xlfn.XLOOKUP(A261, ①オッズ入力!$A$2:$A$19, ①オッズ入力!$D$2:$D$19, 0)), 0)</f>
        <v>0.17014298287160048</v>
      </c>
      <c r="E261">
        <f>IFERROR(IF(_xlfn.XLOOKUP(B261, ①オッズ入力!$A$2:$A$19, ①オッズ入力!$D$2:$D$19, "")="", 0, _xlfn.XLOOKUP(B261, ①オッズ入力!$A$2:$A$19, ①オッズ入力!$D$2:$D$19, 0)), 0)</f>
        <v>7.1460052806072205E-2</v>
      </c>
      <c r="F261">
        <f>IFERROR(IF(_xlfn.XLOOKUP(C261, ①オッズ入力!$A$2:$A$19, ①オッズ入力!$D$2:$D$19, "")="", 0, _xlfn.XLOOKUP(C261, ①オッズ入力!$A$2:$A$19, ①オッズ入力!$D$2:$D$19, 0)), 0)</f>
        <v>2.3820017602024068E-2</v>
      </c>
      <c r="G261">
        <f t="shared" si="8"/>
        <v>3452.8725378106947</v>
      </c>
      <c r="H261">
        <f>IF(G261="", 0, IF(OR(A261=③資金配分!$D$1, A261=③資金配分!$D$2, B261=③資金配分!$D$1, B261=③資金配分!$D$2, C261=③資金配分!$D$1, C261=③資金配分!$D$2), 0, IF(OR(A261=③資金配分!$D$4, A261=③資金配分!$D$5, A261=③資金配分!$D$6, B261=③資金配分!$D$4, B261=③資金配分!$D$5, B261=③資金配分!$D$6, C261=③資金配分!$D$4, C261=③資金配分!$D$5, C261=③資金配分!$D$6), 0, IF(AND(③資金配分!$B$8&gt;0, G261&lt;=③資金配分!$B$8), 1, 0))))</f>
        <v>0</v>
      </c>
      <c r="I261">
        <f t="shared" si="9"/>
        <v>0</v>
      </c>
      <c r="J261">
        <f>IF(I261&gt;0, ROUND((I261 / SUM($I$2:$I$817)) * ③資金配分!$B$7, -2), 0)</f>
        <v>0</v>
      </c>
    </row>
    <row r="262" spans="1:10" x14ac:dyDescent="0.4">
      <c r="A262">
        <v>3</v>
      </c>
      <c r="B262">
        <v>4</v>
      </c>
      <c r="C262">
        <v>9</v>
      </c>
      <c r="D262">
        <f>IFERROR(IF(_xlfn.XLOOKUP(A262, ①オッズ入力!$A$2:$A$19, ①オッズ入力!$D$2:$D$19, "")="", 0, _xlfn.XLOOKUP(A262, ①オッズ入力!$A$2:$A$19, ①オッズ入力!$D$2:$D$19, 0)), 0)</f>
        <v>0.17014298287160048</v>
      </c>
      <c r="E262">
        <f>IFERROR(IF(_xlfn.XLOOKUP(B262, ①オッズ入力!$A$2:$A$19, ①オッズ入力!$D$2:$D$19, "")="", 0, _xlfn.XLOOKUP(B262, ①オッズ入力!$A$2:$A$19, ①オッズ入力!$D$2:$D$19, 0)), 0)</f>
        <v>7.1460052806072205E-2</v>
      </c>
      <c r="F262">
        <f>IFERROR(IF(_xlfn.XLOOKUP(C262, ①オッズ入力!$A$2:$A$19, ①オッズ入力!$D$2:$D$19, "")="", 0, _xlfn.XLOOKUP(C262, ①オッズ入力!$A$2:$A$19, ①オッズ入力!$D$2:$D$19, 0)), 0)</f>
        <v>1.9850014668353389E-2</v>
      </c>
      <c r="G262">
        <f t="shared" si="8"/>
        <v>4143.4470453728345</v>
      </c>
      <c r="H262">
        <f>IF(G262="", 0, IF(OR(A262=③資金配分!$D$1, A262=③資金配分!$D$2, B262=③資金配分!$D$1, B262=③資金配分!$D$2, C262=③資金配分!$D$1, C262=③資金配分!$D$2), 0, IF(OR(A262=③資金配分!$D$4, A262=③資金配分!$D$5, A262=③資金配分!$D$6, B262=③資金配分!$D$4, B262=③資金配分!$D$5, B262=③資金配分!$D$6, C262=③資金配分!$D$4, C262=③資金配分!$D$5, C262=③資金配分!$D$6), 0, IF(AND(③資金配分!$B$8&gt;0, G262&lt;=③資金配分!$B$8), 1, 0))))</f>
        <v>0</v>
      </c>
      <c r="I262">
        <f t="shared" si="9"/>
        <v>0</v>
      </c>
      <c r="J262">
        <f>IF(I262&gt;0, ROUND((I262 / SUM($I$2:$I$817)) * ③資金配分!$B$7, -2), 0)</f>
        <v>0</v>
      </c>
    </row>
    <row r="263" spans="1:10" x14ac:dyDescent="0.4">
      <c r="A263">
        <v>3</v>
      </c>
      <c r="B263">
        <v>4</v>
      </c>
      <c r="C263">
        <v>10</v>
      </c>
      <c r="D263">
        <f>IFERROR(IF(_xlfn.XLOOKUP(A263, ①オッズ入力!$A$2:$A$19, ①オッズ入力!$D$2:$D$19, "")="", 0, _xlfn.XLOOKUP(A263, ①オッズ入力!$A$2:$A$19, ①オッズ入力!$D$2:$D$19, 0)), 0)</f>
        <v>0.17014298287160048</v>
      </c>
      <c r="E263">
        <f>IFERROR(IF(_xlfn.XLOOKUP(B263, ①オッズ入力!$A$2:$A$19, ①オッズ入力!$D$2:$D$19, "")="", 0, _xlfn.XLOOKUP(B263, ①オッズ入力!$A$2:$A$19, ①オッズ入力!$D$2:$D$19, 0)), 0)</f>
        <v>7.1460052806072205E-2</v>
      </c>
      <c r="F263">
        <f>IFERROR(IF(_xlfn.XLOOKUP(C263, ①オッズ入力!$A$2:$A$19, ①オッズ入力!$D$2:$D$19, "")="", 0, _xlfn.XLOOKUP(C263, ①オッズ入力!$A$2:$A$19, ①オッズ入力!$D$2:$D$19, 0)), 0)</f>
        <v>1.7865013201518051E-2</v>
      </c>
      <c r="G263">
        <f t="shared" si="8"/>
        <v>4603.8300504142599</v>
      </c>
      <c r="H263">
        <f>IF(G263="", 0, IF(OR(A263=③資金配分!$D$1, A263=③資金配分!$D$2, B263=③資金配分!$D$1, B263=③資金配分!$D$2, C263=③資金配分!$D$1, C263=③資金配分!$D$2), 0, IF(OR(A263=③資金配分!$D$4, A263=③資金配分!$D$5, A263=③資金配分!$D$6, B263=③資金配分!$D$4, B263=③資金配分!$D$5, B263=③資金配分!$D$6, C263=③資金配分!$D$4, C263=③資金配分!$D$5, C263=③資金配分!$D$6), 0, IF(AND(③資金配分!$B$8&gt;0, G263&lt;=③資金配分!$B$8), 1, 0))))</f>
        <v>0</v>
      </c>
      <c r="I263">
        <f t="shared" si="9"/>
        <v>0</v>
      </c>
      <c r="J263">
        <f>IF(I263&gt;0, ROUND((I263 / SUM($I$2:$I$817)) * ③資金配分!$B$7, -2), 0)</f>
        <v>0</v>
      </c>
    </row>
    <row r="264" spans="1:10" x14ac:dyDescent="0.4">
      <c r="A264">
        <v>3</v>
      </c>
      <c r="B264">
        <v>4</v>
      </c>
      <c r="C264">
        <v>11</v>
      </c>
      <c r="D264">
        <f>IFERROR(IF(_xlfn.XLOOKUP(A264, ①オッズ入力!$A$2:$A$19, ①オッズ入力!$D$2:$D$19, "")="", 0, _xlfn.XLOOKUP(A264, ①オッズ入力!$A$2:$A$19, ①オッズ入力!$D$2:$D$19, 0)), 0)</f>
        <v>0.17014298287160048</v>
      </c>
      <c r="E264">
        <f>IFERROR(IF(_xlfn.XLOOKUP(B264, ①オッズ入力!$A$2:$A$19, ①オッズ入力!$D$2:$D$19, "")="", 0, _xlfn.XLOOKUP(B264, ①オッズ入力!$A$2:$A$19, ①オッズ入力!$D$2:$D$19, 0)), 0)</f>
        <v>7.1460052806072205E-2</v>
      </c>
      <c r="F264">
        <f>IFERROR(IF(_xlfn.XLOOKUP(C264, ①オッズ入力!$A$2:$A$19, ①オッズ入力!$D$2:$D$19, "")="", 0, _xlfn.XLOOKUP(C264, ①オッズ入力!$A$2:$A$19, ①オッズ入力!$D$2:$D$19, 0)), 0)</f>
        <v>1.6240921092289137E-2</v>
      </c>
      <c r="G264">
        <f t="shared" si="8"/>
        <v>5064.2130554556861</v>
      </c>
      <c r="H264">
        <f>IF(G264="", 0, IF(OR(A264=③資金配分!$D$1, A264=③資金配分!$D$2, B264=③資金配分!$D$1, B264=③資金配分!$D$2, C264=③資金配分!$D$1, C264=③資金配分!$D$2), 0, IF(OR(A264=③資金配分!$D$4, A264=③資金配分!$D$5, A264=③資金配分!$D$6, B264=③資金配分!$D$4, B264=③資金配分!$D$5, B264=③資金配分!$D$6, C264=③資金配分!$D$4, C264=③資金配分!$D$5, C264=③資金配分!$D$6), 0, IF(AND(③資金配分!$B$8&gt;0, G264&lt;=③資金配分!$B$8), 1, 0))))</f>
        <v>0</v>
      </c>
      <c r="I264">
        <f t="shared" si="9"/>
        <v>0</v>
      </c>
      <c r="J264">
        <f>IF(I264&gt;0, ROUND((I264 / SUM($I$2:$I$817)) * ③資金配分!$B$7, -2), 0)</f>
        <v>0</v>
      </c>
    </row>
    <row r="265" spans="1:10" x14ac:dyDescent="0.4">
      <c r="A265">
        <v>3</v>
      </c>
      <c r="B265">
        <v>4</v>
      </c>
      <c r="C265">
        <v>12</v>
      </c>
      <c r="D265">
        <f>IFERROR(IF(_xlfn.XLOOKUP(A265, ①オッズ入力!$A$2:$A$19, ①オッズ入力!$D$2:$D$19, "")="", 0, _xlfn.XLOOKUP(A265, ①オッズ入力!$A$2:$A$19, ①オッズ入力!$D$2:$D$19, 0)), 0)</f>
        <v>0.17014298287160048</v>
      </c>
      <c r="E265">
        <f>IFERROR(IF(_xlfn.XLOOKUP(B265, ①オッズ入力!$A$2:$A$19, ①オッズ入力!$D$2:$D$19, "")="", 0, _xlfn.XLOOKUP(B265, ①オッズ入力!$A$2:$A$19, ①オッズ入力!$D$2:$D$19, 0)), 0)</f>
        <v>7.1460052806072205E-2</v>
      </c>
      <c r="F265">
        <f>IFERROR(IF(_xlfn.XLOOKUP(C265, ①オッズ入力!$A$2:$A$19, ①オッズ入力!$D$2:$D$19, "")="", 0, _xlfn.XLOOKUP(C265, ①オッズ入力!$A$2:$A$19, ①オッズ入力!$D$2:$D$19, 0)), 0)</f>
        <v>1.4887511001265043E-2</v>
      </c>
      <c r="G265">
        <f t="shared" si="8"/>
        <v>5524.5960604971124</v>
      </c>
      <c r="H265">
        <f>IF(G265="", 0, IF(OR(A265=③資金配分!$D$1, A265=③資金配分!$D$2, B265=③資金配分!$D$1, B265=③資金配分!$D$2, C265=③資金配分!$D$1, C265=③資金配分!$D$2), 0, IF(OR(A265=③資金配分!$D$4, A265=③資金配分!$D$5, A265=③資金配分!$D$6, B265=③資金配分!$D$4, B265=③資金配分!$D$5, B265=③資金配分!$D$6, C265=③資金配分!$D$4, C265=③資金配分!$D$5, C265=③資金配分!$D$6), 0, IF(AND(③資金配分!$B$8&gt;0, G265&lt;=③資金配分!$B$8), 1, 0))))</f>
        <v>0</v>
      </c>
      <c r="I265">
        <f t="shared" si="9"/>
        <v>0</v>
      </c>
      <c r="J265">
        <f>IF(I265&gt;0, ROUND((I265 / SUM($I$2:$I$817)) * ③資金配分!$B$7, -2), 0)</f>
        <v>0</v>
      </c>
    </row>
    <row r="266" spans="1:10" x14ac:dyDescent="0.4">
      <c r="A266">
        <v>3</v>
      </c>
      <c r="B266">
        <v>4</v>
      </c>
      <c r="C266">
        <v>13</v>
      </c>
      <c r="D266">
        <f>IFERROR(IF(_xlfn.XLOOKUP(A266, ①オッズ入力!$A$2:$A$19, ①オッズ入力!$D$2:$D$19, "")="", 0, _xlfn.XLOOKUP(A266, ①オッズ入力!$A$2:$A$19, ①オッズ入力!$D$2:$D$19, 0)), 0)</f>
        <v>0.17014298287160048</v>
      </c>
      <c r="E266">
        <f>IFERROR(IF(_xlfn.XLOOKUP(B266, ①オッズ入力!$A$2:$A$19, ①オッズ入力!$D$2:$D$19, "")="", 0, _xlfn.XLOOKUP(B266, ①オッズ入力!$A$2:$A$19, ①オッズ入力!$D$2:$D$19, 0)), 0)</f>
        <v>7.1460052806072205E-2</v>
      </c>
      <c r="F266">
        <f>IFERROR(IF(_xlfn.XLOOKUP(C266, ①オッズ入力!$A$2:$A$19, ①オッズ入力!$D$2:$D$19, "")="", 0, _xlfn.XLOOKUP(C266, ①オッズ入力!$A$2:$A$19, ①オッズ入力!$D$2:$D$19, 0)), 0)</f>
        <v>1.2760723715370036E-2</v>
      </c>
      <c r="G266">
        <f t="shared" si="8"/>
        <v>6445.362070579964</v>
      </c>
      <c r="H266">
        <f>IF(G266="", 0, IF(OR(A266=③資金配分!$D$1, A266=③資金配分!$D$2, B266=③資金配分!$D$1, B266=③資金配分!$D$2, C266=③資金配分!$D$1, C266=③資金配分!$D$2), 0, IF(OR(A266=③資金配分!$D$4, A266=③資金配分!$D$5, A266=③資金配分!$D$6, B266=③資金配分!$D$4, B266=③資金配分!$D$5, B266=③資金配分!$D$6, C266=③資金配分!$D$4, C266=③資金配分!$D$5, C266=③資金配分!$D$6), 0, IF(AND(③資金配分!$B$8&gt;0, G266&lt;=③資金配分!$B$8), 1, 0))))</f>
        <v>0</v>
      </c>
      <c r="I266">
        <f t="shared" si="9"/>
        <v>0</v>
      </c>
      <c r="J266">
        <f>IF(I266&gt;0, ROUND((I266 / SUM($I$2:$I$817)) * ③資金配分!$B$7, -2), 0)</f>
        <v>0</v>
      </c>
    </row>
    <row r="267" spans="1:10" x14ac:dyDescent="0.4">
      <c r="A267">
        <v>3</v>
      </c>
      <c r="B267">
        <v>4</v>
      </c>
      <c r="C267">
        <v>14</v>
      </c>
      <c r="D267">
        <f>IFERROR(IF(_xlfn.XLOOKUP(A267, ①オッズ入力!$A$2:$A$19, ①オッズ入力!$D$2:$D$19, "")="", 0, _xlfn.XLOOKUP(A267, ①オッズ入力!$A$2:$A$19, ①オッズ入力!$D$2:$D$19, 0)), 0)</f>
        <v>0.17014298287160048</v>
      </c>
      <c r="E267">
        <f>IFERROR(IF(_xlfn.XLOOKUP(B267, ①オッズ入力!$A$2:$A$19, ①オッズ入力!$D$2:$D$19, "")="", 0, _xlfn.XLOOKUP(B267, ①オッズ入力!$A$2:$A$19, ①オッズ入力!$D$2:$D$19, 0)), 0)</f>
        <v>7.1460052806072205E-2</v>
      </c>
      <c r="F267">
        <f>IFERROR(IF(_xlfn.XLOOKUP(C267, ①オッズ入力!$A$2:$A$19, ①オッズ入力!$D$2:$D$19, "")="", 0, _xlfn.XLOOKUP(C267, ①オッズ入力!$A$2:$A$19, ①オッズ入力!$D$2:$D$19, 0)), 0)</f>
        <v>1.1525814968721322E-2</v>
      </c>
      <c r="G267">
        <f t="shared" si="8"/>
        <v>7135.9365781421029</v>
      </c>
      <c r="H267">
        <f>IF(G267="", 0, IF(OR(A267=③資金配分!$D$1, A267=③資金配分!$D$2, B267=③資金配分!$D$1, B267=③資金配分!$D$2, C267=③資金配分!$D$1, C267=③資金配分!$D$2), 0, IF(OR(A267=③資金配分!$D$4, A267=③資金配分!$D$5, A267=③資金配分!$D$6, B267=③資金配分!$D$4, B267=③資金配分!$D$5, B267=③資金配分!$D$6, C267=③資金配分!$D$4, C267=③資金配分!$D$5, C267=③資金配分!$D$6), 0, IF(AND(③資金配分!$B$8&gt;0, G267&lt;=③資金配分!$B$8), 1, 0))))</f>
        <v>0</v>
      </c>
      <c r="I267">
        <f t="shared" si="9"/>
        <v>0</v>
      </c>
      <c r="J267">
        <f>IF(I267&gt;0, ROUND((I267 / SUM($I$2:$I$817)) * ③資金配分!$B$7, -2), 0)</f>
        <v>0</v>
      </c>
    </row>
    <row r="268" spans="1:10" x14ac:dyDescent="0.4">
      <c r="A268">
        <v>3</v>
      </c>
      <c r="B268">
        <v>4</v>
      </c>
      <c r="C268">
        <v>15</v>
      </c>
      <c r="D268">
        <f>IFERROR(IF(_xlfn.XLOOKUP(A268, ①オッズ入力!$A$2:$A$19, ①オッズ入力!$D$2:$D$19, "")="", 0, _xlfn.XLOOKUP(A268, ①オッズ入力!$A$2:$A$19, ①オッズ入力!$D$2:$D$19, 0)), 0)</f>
        <v>0.17014298287160048</v>
      </c>
      <c r="E268">
        <f>IFERROR(IF(_xlfn.XLOOKUP(B268, ①オッズ入力!$A$2:$A$19, ①オッズ入力!$D$2:$D$19, "")="", 0, _xlfn.XLOOKUP(B268, ①オッズ入力!$A$2:$A$19, ①オッズ入力!$D$2:$D$19, 0)), 0)</f>
        <v>7.1460052806072205E-2</v>
      </c>
      <c r="F268">
        <f>IFERROR(IF(_xlfn.XLOOKUP(C268, ①オッズ入力!$A$2:$A$19, ①オッズ入力!$D$2:$D$19, "")="", 0, _xlfn.XLOOKUP(C268, ①オッズ入力!$A$2:$A$19, ①オッズ入力!$D$2:$D$19, 0)), 0)</f>
        <v>1.0697612695519792E-2</v>
      </c>
      <c r="G268">
        <f t="shared" si="8"/>
        <v>7688.3961841918135</v>
      </c>
      <c r="H268">
        <f>IF(G268="", 0, IF(OR(A268=③資金配分!$D$1, A268=③資金配分!$D$2, B268=③資金配分!$D$1, B268=③資金配分!$D$2, C268=③資金配分!$D$1, C268=③資金配分!$D$2), 0, IF(OR(A268=③資金配分!$D$4, A268=③資金配分!$D$5, A268=③資金配分!$D$6, B268=③資金配分!$D$4, B268=③資金配分!$D$5, B268=③資金配分!$D$6, C268=③資金配分!$D$4, C268=③資金配分!$D$5, C268=③資金配分!$D$6), 0, IF(AND(③資金配分!$B$8&gt;0, G268&lt;=③資金配分!$B$8), 1, 0))))</f>
        <v>0</v>
      </c>
      <c r="I268">
        <f t="shared" si="9"/>
        <v>0</v>
      </c>
      <c r="J268">
        <f>IF(I268&gt;0, ROUND((I268 / SUM($I$2:$I$817)) * ③資金配分!$B$7, -2), 0)</f>
        <v>0</v>
      </c>
    </row>
    <row r="269" spans="1:10" x14ac:dyDescent="0.4">
      <c r="A269">
        <v>3</v>
      </c>
      <c r="B269">
        <v>4</v>
      </c>
      <c r="C269">
        <v>16</v>
      </c>
      <c r="D269">
        <f>IFERROR(IF(_xlfn.XLOOKUP(A269, ①オッズ入力!$A$2:$A$19, ①オッズ入力!$D$2:$D$19, "")="", 0, _xlfn.XLOOKUP(A269, ①オッズ入力!$A$2:$A$19, ①オッズ入力!$D$2:$D$19, 0)), 0)</f>
        <v>0.17014298287160048</v>
      </c>
      <c r="E269">
        <f>IFERROR(IF(_xlfn.XLOOKUP(B269, ①オッズ入力!$A$2:$A$19, ①オッズ入力!$D$2:$D$19, "")="", 0, _xlfn.XLOOKUP(B269, ①オッズ入力!$A$2:$A$19, ①オッズ入力!$D$2:$D$19, 0)), 0)</f>
        <v>7.1460052806072205E-2</v>
      </c>
      <c r="F269">
        <f>IFERROR(IF(_xlfn.XLOOKUP(C269, ①オッズ入力!$A$2:$A$19, ①オッズ入力!$D$2:$D$19, "")="", 0, _xlfn.XLOOKUP(C269, ①オッズ入力!$A$2:$A$19, ①オッズ入力!$D$2:$D$19, 0)), 0)</f>
        <v>9.8701730395127345E-3</v>
      </c>
      <c r="G269">
        <f t="shared" si="8"/>
        <v>8332.9323912498112</v>
      </c>
      <c r="H269">
        <f>IF(G269="", 0, IF(OR(A269=③資金配分!$D$1, A269=③資金配分!$D$2, B269=③資金配分!$D$1, B269=③資金配分!$D$2, C269=③資金配分!$D$1, C269=③資金配分!$D$2), 0, IF(OR(A269=③資金配分!$D$4, A269=③資金配分!$D$5, A269=③資金配分!$D$6, B269=③資金配分!$D$4, B269=③資金配分!$D$5, B269=③資金配分!$D$6, C269=③資金配分!$D$4, C269=③資金配分!$D$5, C269=③資金配分!$D$6), 0, IF(AND(③資金配分!$B$8&gt;0, G269&lt;=③資金配分!$B$8), 1, 0))))</f>
        <v>0</v>
      </c>
      <c r="I269">
        <f t="shared" si="9"/>
        <v>0</v>
      </c>
      <c r="J269">
        <f>IF(I269&gt;0, ROUND((I269 / SUM($I$2:$I$817)) * ③資金配分!$B$7, -2), 0)</f>
        <v>0</v>
      </c>
    </row>
    <row r="270" spans="1:10" x14ac:dyDescent="0.4">
      <c r="A270">
        <v>3</v>
      </c>
      <c r="B270">
        <v>4</v>
      </c>
      <c r="C270">
        <v>17</v>
      </c>
      <c r="D270">
        <f>IFERROR(IF(_xlfn.XLOOKUP(A270, ①オッズ入力!$A$2:$A$19, ①オッズ入力!$D$2:$D$19, "")="", 0, _xlfn.XLOOKUP(A270, ①オッズ入力!$A$2:$A$19, ①オッズ入力!$D$2:$D$19, 0)), 0)</f>
        <v>0.17014298287160048</v>
      </c>
      <c r="E270">
        <f>IFERROR(IF(_xlfn.XLOOKUP(B270, ①オッズ入力!$A$2:$A$19, ①オッズ入力!$D$2:$D$19, "")="", 0, _xlfn.XLOOKUP(B270, ①オッズ入力!$A$2:$A$19, ①オッズ入力!$D$2:$D$19, 0)), 0)</f>
        <v>7.1460052806072205E-2</v>
      </c>
      <c r="F270">
        <f>IFERROR(IF(_xlfn.XLOOKUP(C270, ①オッズ入力!$A$2:$A$19, ①オッズ入力!$D$2:$D$19, "")="", 0, _xlfn.XLOOKUP(C270, ①オッズ入力!$A$2:$A$19, ①オッズ入力!$D$2:$D$19, 0)), 0)</f>
        <v>9.1615452315477186E-3</v>
      </c>
      <c r="G270">
        <f t="shared" si="8"/>
        <v>8977.468598307807</v>
      </c>
      <c r="H270">
        <f>IF(G270="", 0, IF(OR(A270=③資金配分!$D$1, A270=③資金配分!$D$2, B270=③資金配分!$D$1, B270=③資金配分!$D$2, C270=③資金配分!$D$1, C270=③資金配分!$D$2), 0, IF(OR(A270=③資金配分!$D$4, A270=③資金配分!$D$5, A270=③資金配分!$D$6, B270=③資金配分!$D$4, B270=③資金配分!$D$5, B270=③資金配分!$D$6, C270=③資金配分!$D$4, C270=③資金配分!$D$5, C270=③資金配分!$D$6), 0, IF(AND(③資金配分!$B$8&gt;0, G270&lt;=③資金配分!$B$8), 1, 0))))</f>
        <v>0</v>
      </c>
      <c r="I270">
        <f t="shared" si="9"/>
        <v>0</v>
      </c>
      <c r="J270">
        <f>IF(I270&gt;0, ROUND((I270 / SUM($I$2:$I$817)) * ③資金配分!$B$7, -2), 0)</f>
        <v>0</v>
      </c>
    </row>
    <row r="271" spans="1:10" x14ac:dyDescent="0.4">
      <c r="A271">
        <v>3</v>
      </c>
      <c r="B271">
        <v>4</v>
      </c>
      <c r="C271">
        <v>18</v>
      </c>
      <c r="D271">
        <f>IFERROR(IF(_xlfn.XLOOKUP(A271, ①オッズ入力!$A$2:$A$19, ①オッズ入力!$D$2:$D$19, "")="", 0, _xlfn.XLOOKUP(A271, ①オッズ入力!$A$2:$A$19, ①オッズ入力!$D$2:$D$19, 0)), 0)</f>
        <v>0.17014298287160048</v>
      </c>
      <c r="E271">
        <f>IFERROR(IF(_xlfn.XLOOKUP(B271, ①オッズ入力!$A$2:$A$19, ①オッズ入力!$D$2:$D$19, "")="", 0, _xlfn.XLOOKUP(B271, ①オッズ入力!$A$2:$A$19, ①オッズ入力!$D$2:$D$19, 0)), 0)</f>
        <v>7.1460052806072205E-2</v>
      </c>
      <c r="F271">
        <f>IFERROR(IF(_xlfn.XLOOKUP(C271, ①オッズ入力!$A$2:$A$19, ①オッズ入力!$D$2:$D$19, "")="", 0, _xlfn.XLOOKUP(C271, ①オッズ入力!$A$2:$A$19, ①オッズ入力!$D$2:$D$19, 0)), 0)</f>
        <v>8.5478532064679671E-3</v>
      </c>
      <c r="G271">
        <f t="shared" si="8"/>
        <v>9622.0048053658029</v>
      </c>
      <c r="H271">
        <f>IF(G271="", 0, IF(OR(A271=③資金配分!$D$1, A271=③資金配分!$D$2, B271=③資金配分!$D$1, B271=③資金配分!$D$2, C271=③資金配分!$D$1, C271=③資金配分!$D$2), 0, IF(OR(A271=③資金配分!$D$4, A271=③資金配分!$D$5, A271=③資金配分!$D$6, B271=③資金配分!$D$4, B271=③資金配分!$D$5, B271=③資金配分!$D$6, C271=③資金配分!$D$4, C271=③資金配分!$D$5, C271=③資金配分!$D$6), 0, IF(AND(③資金配分!$B$8&gt;0, G271&lt;=③資金配分!$B$8), 1, 0))))</f>
        <v>0</v>
      </c>
      <c r="I271">
        <f t="shared" si="9"/>
        <v>0</v>
      </c>
      <c r="J271">
        <f>IF(I271&gt;0, ROUND((I271 / SUM($I$2:$I$817)) * ③資金配分!$B$7, -2), 0)</f>
        <v>0</v>
      </c>
    </row>
    <row r="272" spans="1:10" x14ac:dyDescent="0.4">
      <c r="A272">
        <v>3</v>
      </c>
      <c r="B272">
        <v>5</v>
      </c>
      <c r="C272">
        <v>6</v>
      </c>
      <c r="D272">
        <f>IFERROR(IF(_xlfn.XLOOKUP(A272, ①オッズ入力!$A$2:$A$19, ①オッズ入力!$D$2:$D$19, "")="", 0, _xlfn.XLOOKUP(A272, ①オッズ入力!$A$2:$A$19, ①オッズ入力!$D$2:$D$19, 0)), 0)</f>
        <v>0.17014298287160048</v>
      </c>
      <c r="E272">
        <f>IFERROR(IF(_xlfn.XLOOKUP(B272, ①オッズ入力!$A$2:$A$19, ①オッズ入力!$D$2:$D$19, "")="", 0, _xlfn.XLOOKUP(B272, ①オッズ入力!$A$2:$A$19, ①オッズ入力!$D$2:$D$19, 0)), 0)</f>
        <v>4.4662533003795128E-2</v>
      </c>
      <c r="F272">
        <f>IFERROR(IF(_xlfn.XLOOKUP(C272, ①オッズ入力!$A$2:$A$19, ①オッズ入力!$D$2:$D$19, "")="", 0, _xlfn.XLOOKUP(C272, ①オッズ入力!$A$2:$A$19, ①オッズ入力!$D$2:$D$19, 0)), 0)</f>
        <v>3.2481842184578273E-2</v>
      </c>
      <c r="G272">
        <f t="shared" si="8"/>
        <v>4051.3704443645488</v>
      </c>
      <c r="H272">
        <f>IF(G272="", 0, IF(OR(A272=③資金配分!$D$1, A272=③資金配分!$D$2, B272=③資金配分!$D$1, B272=③資金配分!$D$2, C272=③資金配分!$D$1, C272=③資金配分!$D$2), 0, IF(OR(A272=③資金配分!$D$4, A272=③資金配分!$D$5, A272=③資金配分!$D$6, B272=③資金配分!$D$4, B272=③資金配分!$D$5, B272=③資金配分!$D$6, C272=③資金配分!$D$4, C272=③資金配分!$D$5, C272=③資金配分!$D$6), 0, IF(AND(③資金配分!$B$8&gt;0, G272&lt;=③資金配分!$B$8), 1, 0))))</f>
        <v>0</v>
      </c>
      <c r="I272">
        <f t="shared" si="9"/>
        <v>0</v>
      </c>
      <c r="J272">
        <f>IF(I272&gt;0, ROUND((I272 / SUM($I$2:$I$817)) * ③資金配分!$B$7, -2), 0)</f>
        <v>0</v>
      </c>
    </row>
    <row r="273" spans="1:10" x14ac:dyDescent="0.4">
      <c r="A273">
        <v>3</v>
      </c>
      <c r="B273">
        <v>5</v>
      </c>
      <c r="C273">
        <v>7</v>
      </c>
      <c r="D273">
        <f>IFERROR(IF(_xlfn.XLOOKUP(A273, ①オッズ入力!$A$2:$A$19, ①オッズ入力!$D$2:$D$19, "")="", 0, _xlfn.XLOOKUP(A273, ①オッズ入力!$A$2:$A$19, ①オッズ入力!$D$2:$D$19, 0)), 0)</f>
        <v>0.17014298287160048</v>
      </c>
      <c r="E273">
        <f>IFERROR(IF(_xlfn.XLOOKUP(B273, ①オッズ入力!$A$2:$A$19, ①オッズ入力!$D$2:$D$19, "")="", 0, _xlfn.XLOOKUP(B273, ①オッズ入力!$A$2:$A$19, ①オッズ入力!$D$2:$D$19, 0)), 0)</f>
        <v>4.4662533003795128E-2</v>
      </c>
      <c r="F273">
        <f>IFERROR(IF(_xlfn.XLOOKUP(C273, ①オッズ入力!$A$2:$A$19, ①オッズ入力!$D$2:$D$19, "")="", 0, _xlfn.XLOOKUP(C273, ①オッズ入力!$A$2:$A$19, ①オッズ入力!$D$2:$D$19, 0)), 0)</f>
        <v>2.9775022002530085E-2</v>
      </c>
      <c r="G273">
        <f t="shared" si="8"/>
        <v>4419.6768483976894</v>
      </c>
      <c r="H273">
        <f>IF(G273="", 0, IF(OR(A273=③資金配分!$D$1, A273=③資金配分!$D$2, B273=③資金配分!$D$1, B273=③資金配分!$D$2, C273=③資金配分!$D$1, C273=③資金配分!$D$2), 0, IF(OR(A273=③資金配分!$D$4, A273=③資金配分!$D$5, A273=③資金配分!$D$6, B273=③資金配分!$D$4, B273=③資金配分!$D$5, B273=③資金配分!$D$6, C273=③資金配分!$D$4, C273=③資金配分!$D$5, C273=③資金配分!$D$6), 0, IF(AND(③資金配分!$B$8&gt;0, G273&lt;=③資金配分!$B$8), 1, 0))))</f>
        <v>0</v>
      </c>
      <c r="I273">
        <f t="shared" si="9"/>
        <v>0</v>
      </c>
      <c r="J273">
        <f>IF(I273&gt;0, ROUND((I273 / SUM($I$2:$I$817)) * ③資金配分!$B$7, -2), 0)</f>
        <v>0</v>
      </c>
    </row>
    <row r="274" spans="1:10" x14ac:dyDescent="0.4">
      <c r="A274">
        <v>3</v>
      </c>
      <c r="B274">
        <v>5</v>
      </c>
      <c r="C274">
        <v>8</v>
      </c>
      <c r="D274">
        <f>IFERROR(IF(_xlfn.XLOOKUP(A274, ①オッズ入力!$A$2:$A$19, ①オッズ入力!$D$2:$D$19, "")="", 0, _xlfn.XLOOKUP(A274, ①オッズ入力!$A$2:$A$19, ①オッズ入力!$D$2:$D$19, 0)), 0)</f>
        <v>0.17014298287160048</v>
      </c>
      <c r="E274">
        <f>IFERROR(IF(_xlfn.XLOOKUP(B274, ①オッズ入力!$A$2:$A$19, ①オッズ入力!$D$2:$D$19, "")="", 0, _xlfn.XLOOKUP(B274, ①オッズ入力!$A$2:$A$19, ①オッズ入力!$D$2:$D$19, 0)), 0)</f>
        <v>4.4662533003795128E-2</v>
      </c>
      <c r="F274">
        <f>IFERROR(IF(_xlfn.XLOOKUP(C274, ①オッズ入力!$A$2:$A$19, ①オッズ入力!$D$2:$D$19, "")="", 0, _xlfn.XLOOKUP(C274, ①オッズ入力!$A$2:$A$19, ①オッズ入力!$D$2:$D$19, 0)), 0)</f>
        <v>2.3820017602024068E-2</v>
      </c>
      <c r="G274">
        <f t="shared" si="8"/>
        <v>5524.5960604971115</v>
      </c>
      <c r="H274">
        <f>IF(G274="", 0, IF(OR(A274=③資金配分!$D$1, A274=③資金配分!$D$2, B274=③資金配分!$D$1, B274=③資金配分!$D$2, C274=③資金配分!$D$1, C274=③資金配分!$D$2), 0, IF(OR(A274=③資金配分!$D$4, A274=③資金配分!$D$5, A274=③資金配分!$D$6, B274=③資金配分!$D$4, B274=③資金配分!$D$5, B274=③資金配分!$D$6, C274=③資金配分!$D$4, C274=③資金配分!$D$5, C274=③資金配分!$D$6), 0, IF(AND(③資金配分!$B$8&gt;0, G274&lt;=③資金配分!$B$8), 1, 0))))</f>
        <v>0</v>
      </c>
      <c r="I274">
        <f t="shared" si="9"/>
        <v>0</v>
      </c>
      <c r="J274">
        <f>IF(I274&gt;0, ROUND((I274 / SUM($I$2:$I$817)) * ③資金配分!$B$7, -2), 0)</f>
        <v>0</v>
      </c>
    </row>
    <row r="275" spans="1:10" x14ac:dyDescent="0.4">
      <c r="A275">
        <v>3</v>
      </c>
      <c r="B275">
        <v>5</v>
      </c>
      <c r="C275">
        <v>9</v>
      </c>
      <c r="D275">
        <f>IFERROR(IF(_xlfn.XLOOKUP(A275, ①オッズ入力!$A$2:$A$19, ①オッズ入力!$D$2:$D$19, "")="", 0, _xlfn.XLOOKUP(A275, ①オッズ入力!$A$2:$A$19, ①オッズ入力!$D$2:$D$19, 0)), 0)</f>
        <v>0.17014298287160048</v>
      </c>
      <c r="E275">
        <f>IFERROR(IF(_xlfn.XLOOKUP(B275, ①オッズ入力!$A$2:$A$19, ①オッズ入力!$D$2:$D$19, "")="", 0, _xlfn.XLOOKUP(B275, ①オッズ入力!$A$2:$A$19, ①オッズ入力!$D$2:$D$19, 0)), 0)</f>
        <v>4.4662533003795128E-2</v>
      </c>
      <c r="F275">
        <f>IFERROR(IF(_xlfn.XLOOKUP(C275, ①オッズ入力!$A$2:$A$19, ①オッズ入力!$D$2:$D$19, "")="", 0, _xlfn.XLOOKUP(C275, ①オッズ入力!$A$2:$A$19, ①オッズ入力!$D$2:$D$19, 0)), 0)</f>
        <v>1.9850014668353389E-2</v>
      </c>
      <c r="G275">
        <f t="shared" si="8"/>
        <v>6629.5152725965336</v>
      </c>
      <c r="H275">
        <f>IF(G275="", 0, IF(OR(A275=③資金配分!$D$1, A275=③資金配分!$D$2, B275=③資金配分!$D$1, B275=③資金配分!$D$2, C275=③資金配分!$D$1, C275=③資金配分!$D$2), 0, IF(OR(A275=③資金配分!$D$4, A275=③資金配分!$D$5, A275=③資金配分!$D$6, B275=③資金配分!$D$4, B275=③資金配分!$D$5, B275=③資金配分!$D$6, C275=③資金配分!$D$4, C275=③資金配分!$D$5, C275=③資金配分!$D$6), 0, IF(AND(③資金配分!$B$8&gt;0, G275&lt;=③資金配分!$B$8), 1, 0))))</f>
        <v>0</v>
      </c>
      <c r="I275">
        <f t="shared" si="9"/>
        <v>0</v>
      </c>
      <c r="J275">
        <f>IF(I275&gt;0, ROUND((I275 / SUM($I$2:$I$817)) * ③資金配分!$B$7, -2), 0)</f>
        <v>0</v>
      </c>
    </row>
    <row r="276" spans="1:10" x14ac:dyDescent="0.4">
      <c r="A276">
        <v>3</v>
      </c>
      <c r="B276">
        <v>5</v>
      </c>
      <c r="C276">
        <v>10</v>
      </c>
      <c r="D276">
        <f>IFERROR(IF(_xlfn.XLOOKUP(A276, ①オッズ入力!$A$2:$A$19, ①オッズ入力!$D$2:$D$19, "")="", 0, _xlfn.XLOOKUP(A276, ①オッズ入力!$A$2:$A$19, ①オッズ入力!$D$2:$D$19, 0)), 0)</f>
        <v>0.17014298287160048</v>
      </c>
      <c r="E276">
        <f>IFERROR(IF(_xlfn.XLOOKUP(B276, ①オッズ入力!$A$2:$A$19, ①オッズ入力!$D$2:$D$19, "")="", 0, _xlfn.XLOOKUP(B276, ①オッズ入力!$A$2:$A$19, ①オッズ入力!$D$2:$D$19, 0)), 0)</f>
        <v>4.4662533003795128E-2</v>
      </c>
      <c r="F276">
        <f>IFERROR(IF(_xlfn.XLOOKUP(C276, ①オッズ入力!$A$2:$A$19, ①オッズ入力!$D$2:$D$19, "")="", 0, _xlfn.XLOOKUP(C276, ①オッズ入力!$A$2:$A$19, ①オッズ入力!$D$2:$D$19, 0)), 0)</f>
        <v>1.7865013201518051E-2</v>
      </c>
      <c r="G276">
        <f t="shared" si="8"/>
        <v>7366.1280806628147</v>
      </c>
      <c r="H276">
        <f>IF(G276="", 0, IF(OR(A276=③資金配分!$D$1, A276=③資金配分!$D$2, B276=③資金配分!$D$1, B276=③資金配分!$D$2, C276=③資金配分!$D$1, C276=③資金配分!$D$2), 0, IF(OR(A276=③資金配分!$D$4, A276=③資金配分!$D$5, A276=③資金配分!$D$6, B276=③資金配分!$D$4, B276=③資金配分!$D$5, B276=③資金配分!$D$6, C276=③資金配分!$D$4, C276=③資金配分!$D$5, C276=③資金配分!$D$6), 0, IF(AND(③資金配分!$B$8&gt;0, G276&lt;=③資金配分!$B$8), 1, 0))))</f>
        <v>0</v>
      </c>
      <c r="I276">
        <f t="shared" si="9"/>
        <v>0</v>
      </c>
      <c r="J276">
        <f>IF(I276&gt;0, ROUND((I276 / SUM($I$2:$I$817)) * ③資金配分!$B$7, -2), 0)</f>
        <v>0</v>
      </c>
    </row>
    <row r="277" spans="1:10" x14ac:dyDescent="0.4">
      <c r="A277">
        <v>3</v>
      </c>
      <c r="B277">
        <v>5</v>
      </c>
      <c r="C277">
        <v>11</v>
      </c>
      <c r="D277">
        <f>IFERROR(IF(_xlfn.XLOOKUP(A277, ①オッズ入力!$A$2:$A$19, ①オッズ入力!$D$2:$D$19, "")="", 0, _xlfn.XLOOKUP(A277, ①オッズ入力!$A$2:$A$19, ①オッズ入力!$D$2:$D$19, 0)), 0)</f>
        <v>0.17014298287160048</v>
      </c>
      <c r="E277">
        <f>IFERROR(IF(_xlfn.XLOOKUP(B277, ①オッズ入力!$A$2:$A$19, ①オッズ入力!$D$2:$D$19, "")="", 0, _xlfn.XLOOKUP(B277, ①オッズ入力!$A$2:$A$19, ①オッズ入力!$D$2:$D$19, 0)), 0)</f>
        <v>4.4662533003795128E-2</v>
      </c>
      <c r="F277">
        <f>IFERROR(IF(_xlfn.XLOOKUP(C277, ①オッズ入力!$A$2:$A$19, ①オッズ入力!$D$2:$D$19, "")="", 0, _xlfn.XLOOKUP(C277, ①オッズ入力!$A$2:$A$19, ①オッズ入力!$D$2:$D$19, 0)), 0)</f>
        <v>1.6240921092289137E-2</v>
      </c>
      <c r="G277">
        <f t="shared" si="8"/>
        <v>8102.7408887290976</v>
      </c>
      <c r="H277">
        <f>IF(G277="", 0, IF(OR(A277=③資金配分!$D$1, A277=③資金配分!$D$2, B277=③資金配分!$D$1, B277=③資金配分!$D$2, C277=③資金配分!$D$1, C277=③資金配分!$D$2), 0, IF(OR(A277=③資金配分!$D$4, A277=③資金配分!$D$5, A277=③資金配分!$D$6, B277=③資金配分!$D$4, B277=③資金配分!$D$5, B277=③資金配分!$D$6, C277=③資金配分!$D$4, C277=③資金配分!$D$5, C277=③資金配分!$D$6), 0, IF(AND(③資金配分!$B$8&gt;0, G277&lt;=③資金配分!$B$8), 1, 0))))</f>
        <v>0</v>
      </c>
      <c r="I277">
        <f t="shared" si="9"/>
        <v>0</v>
      </c>
      <c r="J277">
        <f>IF(I277&gt;0, ROUND((I277 / SUM($I$2:$I$817)) * ③資金配分!$B$7, -2), 0)</f>
        <v>0</v>
      </c>
    </row>
    <row r="278" spans="1:10" x14ac:dyDescent="0.4">
      <c r="A278">
        <v>3</v>
      </c>
      <c r="B278">
        <v>5</v>
      </c>
      <c r="C278">
        <v>12</v>
      </c>
      <c r="D278">
        <f>IFERROR(IF(_xlfn.XLOOKUP(A278, ①オッズ入力!$A$2:$A$19, ①オッズ入力!$D$2:$D$19, "")="", 0, _xlfn.XLOOKUP(A278, ①オッズ入力!$A$2:$A$19, ①オッズ入力!$D$2:$D$19, 0)), 0)</f>
        <v>0.17014298287160048</v>
      </c>
      <c r="E278">
        <f>IFERROR(IF(_xlfn.XLOOKUP(B278, ①オッズ入力!$A$2:$A$19, ①オッズ入力!$D$2:$D$19, "")="", 0, _xlfn.XLOOKUP(B278, ①オッズ入力!$A$2:$A$19, ①オッズ入力!$D$2:$D$19, 0)), 0)</f>
        <v>4.4662533003795128E-2</v>
      </c>
      <c r="F278">
        <f>IFERROR(IF(_xlfn.XLOOKUP(C278, ①オッズ入力!$A$2:$A$19, ①オッズ入力!$D$2:$D$19, "")="", 0, _xlfn.XLOOKUP(C278, ①オッズ入力!$A$2:$A$19, ①オッズ入力!$D$2:$D$19, 0)), 0)</f>
        <v>1.4887511001265043E-2</v>
      </c>
      <c r="G278">
        <f t="shared" si="8"/>
        <v>8839.3536967953787</v>
      </c>
      <c r="H278">
        <f>IF(G278="", 0, IF(OR(A278=③資金配分!$D$1, A278=③資金配分!$D$2, B278=③資金配分!$D$1, B278=③資金配分!$D$2, C278=③資金配分!$D$1, C278=③資金配分!$D$2), 0, IF(OR(A278=③資金配分!$D$4, A278=③資金配分!$D$5, A278=③資金配分!$D$6, B278=③資金配分!$D$4, B278=③資金配分!$D$5, B278=③資金配分!$D$6, C278=③資金配分!$D$4, C278=③資金配分!$D$5, C278=③資金配分!$D$6), 0, IF(AND(③資金配分!$B$8&gt;0, G278&lt;=③資金配分!$B$8), 1, 0))))</f>
        <v>0</v>
      </c>
      <c r="I278">
        <f t="shared" si="9"/>
        <v>0</v>
      </c>
      <c r="J278">
        <f>IF(I278&gt;0, ROUND((I278 / SUM($I$2:$I$817)) * ③資金配分!$B$7, -2), 0)</f>
        <v>0</v>
      </c>
    </row>
    <row r="279" spans="1:10" x14ac:dyDescent="0.4">
      <c r="A279">
        <v>3</v>
      </c>
      <c r="B279">
        <v>5</v>
      </c>
      <c r="C279">
        <v>13</v>
      </c>
      <c r="D279">
        <f>IFERROR(IF(_xlfn.XLOOKUP(A279, ①オッズ入力!$A$2:$A$19, ①オッズ入力!$D$2:$D$19, "")="", 0, _xlfn.XLOOKUP(A279, ①オッズ入力!$A$2:$A$19, ①オッズ入力!$D$2:$D$19, 0)), 0)</f>
        <v>0.17014298287160048</v>
      </c>
      <c r="E279">
        <f>IFERROR(IF(_xlfn.XLOOKUP(B279, ①オッズ入力!$A$2:$A$19, ①オッズ入力!$D$2:$D$19, "")="", 0, _xlfn.XLOOKUP(B279, ①オッズ入力!$A$2:$A$19, ①オッズ入力!$D$2:$D$19, 0)), 0)</f>
        <v>4.4662533003795128E-2</v>
      </c>
      <c r="F279">
        <f>IFERROR(IF(_xlfn.XLOOKUP(C279, ①オッズ入力!$A$2:$A$19, ①オッズ入力!$D$2:$D$19, "")="", 0, _xlfn.XLOOKUP(C279, ①オッズ入力!$A$2:$A$19, ①オッズ入力!$D$2:$D$19, 0)), 0)</f>
        <v>1.2760723715370036E-2</v>
      </c>
      <c r="G279">
        <f t="shared" si="8"/>
        <v>10312.579312927943</v>
      </c>
      <c r="H279">
        <f>IF(G279="", 0, IF(OR(A279=③資金配分!$D$1, A279=③資金配分!$D$2, B279=③資金配分!$D$1, B279=③資金配分!$D$2, C279=③資金配分!$D$1, C279=③資金配分!$D$2), 0, IF(OR(A279=③資金配分!$D$4, A279=③資金配分!$D$5, A279=③資金配分!$D$6, B279=③資金配分!$D$4, B279=③資金配分!$D$5, B279=③資金配分!$D$6, C279=③資金配分!$D$4, C279=③資金配分!$D$5, C279=③資金配分!$D$6), 0, IF(AND(③資金配分!$B$8&gt;0, G279&lt;=③資金配分!$B$8), 1, 0))))</f>
        <v>0</v>
      </c>
      <c r="I279">
        <f t="shared" si="9"/>
        <v>0</v>
      </c>
      <c r="J279">
        <f>IF(I279&gt;0, ROUND((I279 / SUM($I$2:$I$817)) * ③資金配分!$B$7, -2), 0)</f>
        <v>0</v>
      </c>
    </row>
    <row r="280" spans="1:10" x14ac:dyDescent="0.4">
      <c r="A280">
        <v>3</v>
      </c>
      <c r="B280">
        <v>5</v>
      </c>
      <c r="C280">
        <v>14</v>
      </c>
      <c r="D280">
        <f>IFERROR(IF(_xlfn.XLOOKUP(A280, ①オッズ入力!$A$2:$A$19, ①オッズ入力!$D$2:$D$19, "")="", 0, _xlfn.XLOOKUP(A280, ①オッズ入力!$A$2:$A$19, ①オッズ入力!$D$2:$D$19, 0)), 0)</f>
        <v>0.17014298287160048</v>
      </c>
      <c r="E280">
        <f>IFERROR(IF(_xlfn.XLOOKUP(B280, ①オッズ入力!$A$2:$A$19, ①オッズ入力!$D$2:$D$19, "")="", 0, _xlfn.XLOOKUP(B280, ①オッズ入力!$A$2:$A$19, ①オッズ入力!$D$2:$D$19, 0)), 0)</f>
        <v>4.4662533003795128E-2</v>
      </c>
      <c r="F280">
        <f>IFERROR(IF(_xlfn.XLOOKUP(C280, ①オッズ入力!$A$2:$A$19, ①オッズ入力!$D$2:$D$19, "")="", 0, _xlfn.XLOOKUP(C280, ①オッズ入力!$A$2:$A$19, ①オッズ入力!$D$2:$D$19, 0)), 0)</f>
        <v>1.1525814968721322E-2</v>
      </c>
      <c r="G280">
        <f t="shared" si="8"/>
        <v>11417.498525027364</v>
      </c>
      <c r="H280">
        <f>IF(G280="", 0, IF(OR(A280=③資金配分!$D$1, A280=③資金配分!$D$2, B280=③資金配分!$D$1, B280=③資金配分!$D$2, C280=③資金配分!$D$1, C280=③資金配分!$D$2), 0, IF(OR(A280=③資金配分!$D$4, A280=③資金配分!$D$5, A280=③資金配分!$D$6, B280=③資金配分!$D$4, B280=③資金配分!$D$5, B280=③資金配分!$D$6, C280=③資金配分!$D$4, C280=③資金配分!$D$5, C280=③資金配分!$D$6), 0, IF(AND(③資金配分!$B$8&gt;0, G280&lt;=③資金配分!$B$8), 1, 0))))</f>
        <v>0</v>
      </c>
      <c r="I280">
        <f t="shared" si="9"/>
        <v>0</v>
      </c>
      <c r="J280">
        <f>IF(I280&gt;0, ROUND((I280 / SUM($I$2:$I$817)) * ③資金配分!$B$7, -2), 0)</f>
        <v>0</v>
      </c>
    </row>
    <row r="281" spans="1:10" x14ac:dyDescent="0.4">
      <c r="A281">
        <v>3</v>
      </c>
      <c r="B281">
        <v>5</v>
      </c>
      <c r="C281">
        <v>15</v>
      </c>
      <c r="D281">
        <f>IFERROR(IF(_xlfn.XLOOKUP(A281, ①オッズ入力!$A$2:$A$19, ①オッズ入力!$D$2:$D$19, "")="", 0, _xlfn.XLOOKUP(A281, ①オッズ入力!$A$2:$A$19, ①オッズ入力!$D$2:$D$19, 0)), 0)</f>
        <v>0.17014298287160048</v>
      </c>
      <c r="E281">
        <f>IFERROR(IF(_xlfn.XLOOKUP(B281, ①オッズ入力!$A$2:$A$19, ①オッズ入力!$D$2:$D$19, "")="", 0, _xlfn.XLOOKUP(B281, ①オッズ入力!$A$2:$A$19, ①オッズ入力!$D$2:$D$19, 0)), 0)</f>
        <v>4.4662533003795128E-2</v>
      </c>
      <c r="F281">
        <f>IFERROR(IF(_xlfn.XLOOKUP(C281, ①オッズ入力!$A$2:$A$19, ①オッズ入力!$D$2:$D$19, "")="", 0, _xlfn.XLOOKUP(C281, ①オッズ入力!$A$2:$A$19, ①オッズ入力!$D$2:$D$19, 0)), 0)</f>
        <v>1.0697612695519792E-2</v>
      </c>
      <c r="G281">
        <f t="shared" si="8"/>
        <v>12301.433894706901</v>
      </c>
      <c r="H281">
        <f>IF(G281="", 0, IF(OR(A281=③資金配分!$D$1, A281=③資金配分!$D$2, B281=③資金配分!$D$1, B281=③資金配分!$D$2, C281=③資金配分!$D$1, C281=③資金配分!$D$2), 0, IF(OR(A281=③資金配分!$D$4, A281=③資金配分!$D$5, A281=③資金配分!$D$6, B281=③資金配分!$D$4, B281=③資金配分!$D$5, B281=③資金配分!$D$6, C281=③資金配分!$D$4, C281=③資金配分!$D$5, C281=③資金配分!$D$6), 0, IF(AND(③資金配分!$B$8&gt;0, G281&lt;=③資金配分!$B$8), 1, 0))))</f>
        <v>0</v>
      </c>
      <c r="I281">
        <f t="shared" si="9"/>
        <v>0</v>
      </c>
      <c r="J281">
        <f>IF(I281&gt;0, ROUND((I281 / SUM($I$2:$I$817)) * ③資金配分!$B$7, -2), 0)</f>
        <v>0</v>
      </c>
    </row>
    <row r="282" spans="1:10" x14ac:dyDescent="0.4">
      <c r="A282">
        <v>3</v>
      </c>
      <c r="B282">
        <v>5</v>
      </c>
      <c r="C282">
        <v>16</v>
      </c>
      <c r="D282">
        <f>IFERROR(IF(_xlfn.XLOOKUP(A282, ①オッズ入力!$A$2:$A$19, ①オッズ入力!$D$2:$D$19, "")="", 0, _xlfn.XLOOKUP(A282, ①オッズ入力!$A$2:$A$19, ①オッズ入力!$D$2:$D$19, 0)), 0)</f>
        <v>0.17014298287160048</v>
      </c>
      <c r="E282">
        <f>IFERROR(IF(_xlfn.XLOOKUP(B282, ①オッズ入力!$A$2:$A$19, ①オッズ入力!$D$2:$D$19, "")="", 0, _xlfn.XLOOKUP(B282, ①オッズ入力!$A$2:$A$19, ①オッズ入力!$D$2:$D$19, 0)), 0)</f>
        <v>4.4662533003795128E-2</v>
      </c>
      <c r="F282">
        <f>IFERROR(IF(_xlfn.XLOOKUP(C282, ①オッズ入力!$A$2:$A$19, ①オッズ入力!$D$2:$D$19, "")="", 0, _xlfn.XLOOKUP(C282, ①オッズ入力!$A$2:$A$19, ①オッズ入力!$D$2:$D$19, 0)), 0)</f>
        <v>9.8701730395127345E-3</v>
      </c>
      <c r="G282">
        <f t="shared" si="8"/>
        <v>13332.691825999698</v>
      </c>
      <c r="H282">
        <f>IF(G282="", 0, IF(OR(A282=③資金配分!$D$1, A282=③資金配分!$D$2, B282=③資金配分!$D$1, B282=③資金配分!$D$2, C282=③資金配分!$D$1, C282=③資金配分!$D$2), 0, IF(OR(A282=③資金配分!$D$4, A282=③資金配分!$D$5, A282=③資金配分!$D$6, B282=③資金配分!$D$4, B282=③資金配分!$D$5, B282=③資金配分!$D$6, C282=③資金配分!$D$4, C282=③資金配分!$D$5, C282=③資金配分!$D$6), 0, IF(AND(③資金配分!$B$8&gt;0, G282&lt;=③資金配分!$B$8), 1, 0))))</f>
        <v>0</v>
      </c>
      <c r="I282">
        <f t="shared" si="9"/>
        <v>0</v>
      </c>
      <c r="J282">
        <f>IF(I282&gt;0, ROUND((I282 / SUM($I$2:$I$817)) * ③資金配分!$B$7, -2), 0)</f>
        <v>0</v>
      </c>
    </row>
    <row r="283" spans="1:10" x14ac:dyDescent="0.4">
      <c r="A283">
        <v>3</v>
      </c>
      <c r="B283">
        <v>5</v>
      </c>
      <c r="C283">
        <v>17</v>
      </c>
      <c r="D283">
        <f>IFERROR(IF(_xlfn.XLOOKUP(A283, ①オッズ入力!$A$2:$A$19, ①オッズ入力!$D$2:$D$19, "")="", 0, _xlfn.XLOOKUP(A283, ①オッズ入力!$A$2:$A$19, ①オッズ入力!$D$2:$D$19, 0)), 0)</f>
        <v>0.17014298287160048</v>
      </c>
      <c r="E283">
        <f>IFERROR(IF(_xlfn.XLOOKUP(B283, ①オッズ入力!$A$2:$A$19, ①オッズ入力!$D$2:$D$19, "")="", 0, _xlfn.XLOOKUP(B283, ①オッズ入力!$A$2:$A$19, ①オッズ入力!$D$2:$D$19, 0)), 0)</f>
        <v>4.4662533003795128E-2</v>
      </c>
      <c r="F283">
        <f>IFERROR(IF(_xlfn.XLOOKUP(C283, ①オッズ入力!$A$2:$A$19, ①オッズ入力!$D$2:$D$19, "")="", 0, _xlfn.XLOOKUP(C283, ①オッズ入力!$A$2:$A$19, ①オッズ入力!$D$2:$D$19, 0)), 0)</f>
        <v>9.1615452315477186E-3</v>
      </c>
      <c r="G283">
        <f t="shared" si="8"/>
        <v>14363.94975729249</v>
      </c>
      <c r="H283">
        <f>IF(G283="", 0, IF(OR(A283=③資金配分!$D$1, A283=③資金配分!$D$2, B283=③資金配分!$D$1, B283=③資金配分!$D$2, C283=③資金配分!$D$1, C283=③資金配分!$D$2), 0, IF(OR(A283=③資金配分!$D$4, A283=③資金配分!$D$5, A283=③資金配分!$D$6, B283=③資金配分!$D$4, B283=③資金配分!$D$5, B283=③資金配分!$D$6, C283=③資金配分!$D$4, C283=③資金配分!$D$5, C283=③資金配分!$D$6), 0, IF(AND(③資金配分!$B$8&gt;0, G283&lt;=③資金配分!$B$8), 1, 0))))</f>
        <v>0</v>
      </c>
      <c r="I283">
        <f t="shared" si="9"/>
        <v>0</v>
      </c>
      <c r="J283">
        <f>IF(I283&gt;0, ROUND((I283 / SUM($I$2:$I$817)) * ③資金配分!$B$7, -2), 0)</f>
        <v>0</v>
      </c>
    </row>
    <row r="284" spans="1:10" x14ac:dyDescent="0.4">
      <c r="A284">
        <v>3</v>
      </c>
      <c r="B284">
        <v>5</v>
      </c>
      <c r="C284">
        <v>18</v>
      </c>
      <c r="D284">
        <f>IFERROR(IF(_xlfn.XLOOKUP(A284, ①オッズ入力!$A$2:$A$19, ①オッズ入力!$D$2:$D$19, "")="", 0, _xlfn.XLOOKUP(A284, ①オッズ入力!$A$2:$A$19, ①オッズ入力!$D$2:$D$19, 0)), 0)</f>
        <v>0.17014298287160048</v>
      </c>
      <c r="E284">
        <f>IFERROR(IF(_xlfn.XLOOKUP(B284, ①オッズ入力!$A$2:$A$19, ①オッズ入力!$D$2:$D$19, "")="", 0, _xlfn.XLOOKUP(B284, ①オッズ入力!$A$2:$A$19, ①オッズ入力!$D$2:$D$19, 0)), 0)</f>
        <v>4.4662533003795128E-2</v>
      </c>
      <c r="F284">
        <f>IFERROR(IF(_xlfn.XLOOKUP(C284, ①オッズ入力!$A$2:$A$19, ①オッズ入力!$D$2:$D$19, "")="", 0, _xlfn.XLOOKUP(C284, ①オッズ入力!$A$2:$A$19, ①オッズ入力!$D$2:$D$19, 0)), 0)</f>
        <v>8.5478532064679671E-3</v>
      </c>
      <c r="G284">
        <f t="shared" si="8"/>
        <v>15395.207688585286</v>
      </c>
      <c r="H284">
        <f>IF(G284="", 0, IF(OR(A284=③資金配分!$D$1, A284=③資金配分!$D$2, B284=③資金配分!$D$1, B284=③資金配分!$D$2, C284=③資金配分!$D$1, C284=③資金配分!$D$2), 0, IF(OR(A284=③資金配分!$D$4, A284=③資金配分!$D$5, A284=③資金配分!$D$6, B284=③資金配分!$D$4, B284=③資金配分!$D$5, B284=③資金配分!$D$6, C284=③資金配分!$D$4, C284=③資金配分!$D$5, C284=③資金配分!$D$6), 0, IF(AND(③資金配分!$B$8&gt;0, G284&lt;=③資金配分!$B$8), 1, 0))))</f>
        <v>0</v>
      </c>
      <c r="I284">
        <f t="shared" si="9"/>
        <v>0</v>
      </c>
      <c r="J284">
        <f>IF(I284&gt;0, ROUND((I284 / SUM($I$2:$I$817)) * ③資金配分!$B$7, -2), 0)</f>
        <v>0</v>
      </c>
    </row>
    <row r="285" spans="1:10" x14ac:dyDescent="0.4">
      <c r="A285">
        <v>3</v>
      </c>
      <c r="B285">
        <v>6</v>
      </c>
      <c r="C285">
        <v>7</v>
      </c>
      <c r="D285">
        <f>IFERROR(IF(_xlfn.XLOOKUP(A285, ①オッズ入力!$A$2:$A$19, ①オッズ入力!$D$2:$D$19, "")="", 0, _xlfn.XLOOKUP(A285, ①オッズ入力!$A$2:$A$19, ①オッズ入力!$D$2:$D$19, 0)), 0)</f>
        <v>0.17014298287160048</v>
      </c>
      <c r="E285">
        <f>IFERROR(IF(_xlfn.XLOOKUP(B285, ①オッズ入力!$A$2:$A$19, ①オッズ入力!$D$2:$D$19, "")="", 0, _xlfn.XLOOKUP(B285, ①オッズ入力!$A$2:$A$19, ①オッズ入力!$D$2:$D$19, 0)), 0)</f>
        <v>3.2481842184578273E-2</v>
      </c>
      <c r="F285">
        <f>IFERROR(IF(_xlfn.XLOOKUP(C285, ①オッズ入力!$A$2:$A$19, ①オッズ入力!$D$2:$D$19, "")="", 0, _xlfn.XLOOKUP(C285, ①オッズ入力!$A$2:$A$19, ①オッズ入力!$D$2:$D$19, 0)), 0)</f>
        <v>2.9775022002530085E-2</v>
      </c>
      <c r="G285">
        <f t="shared" si="8"/>
        <v>6077.0556665468221</v>
      </c>
      <c r="H285">
        <f>IF(G285="", 0, IF(OR(A285=③資金配分!$D$1, A285=③資金配分!$D$2, B285=③資金配分!$D$1, B285=③資金配分!$D$2, C285=③資金配分!$D$1, C285=③資金配分!$D$2), 0, IF(OR(A285=③資金配分!$D$4, A285=③資金配分!$D$5, A285=③資金配分!$D$6, B285=③資金配分!$D$4, B285=③資金配分!$D$5, B285=③資金配分!$D$6, C285=③資金配分!$D$4, C285=③資金配分!$D$5, C285=③資金配分!$D$6), 0, IF(AND(③資金配分!$B$8&gt;0, G285&lt;=③資金配分!$B$8), 1, 0))))</f>
        <v>0</v>
      </c>
      <c r="I285">
        <f t="shared" si="9"/>
        <v>0</v>
      </c>
      <c r="J285">
        <f>IF(I285&gt;0, ROUND((I285 / SUM($I$2:$I$817)) * ③資金配分!$B$7, -2), 0)</f>
        <v>0</v>
      </c>
    </row>
    <row r="286" spans="1:10" x14ac:dyDescent="0.4">
      <c r="A286">
        <v>3</v>
      </c>
      <c r="B286">
        <v>6</v>
      </c>
      <c r="C286">
        <v>8</v>
      </c>
      <c r="D286">
        <f>IFERROR(IF(_xlfn.XLOOKUP(A286, ①オッズ入力!$A$2:$A$19, ①オッズ入力!$D$2:$D$19, "")="", 0, _xlfn.XLOOKUP(A286, ①オッズ入力!$A$2:$A$19, ①オッズ入力!$D$2:$D$19, 0)), 0)</f>
        <v>0.17014298287160048</v>
      </c>
      <c r="E286">
        <f>IFERROR(IF(_xlfn.XLOOKUP(B286, ①オッズ入力!$A$2:$A$19, ①オッズ入力!$D$2:$D$19, "")="", 0, _xlfn.XLOOKUP(B286, ①オッズ入力!$A$2:$A$19, ①オッズ入力!$D$2:$D$19, 0)), 0)</f>
        <v>3.2481842184578273E-2</v>
      </c>
      <c r="F286">
        <f>IFERROR(IF(_xlfn.XLOOKUP(C286, ①オッズ入力!$A$2:$A$19, ①オッズ入力!$D$2:$D$19, "")="", 0, _xlfn.XLOOKUP(C286, ①オッズ入力!$A$2:$A$19, ①オッズ入力!$D$2:$D$19, 0)), 0)</f>
        <v>2.3820017602024068E-2</v>
      </c>
      <c r="G286">
        <f t="shared" si="8"/>
        <v>7596.3195831835283</v>
      </c>
      <c r="H286">
        <f>IF(G286="", 0, IF(OR(A286=③資金配分!$D$1, A286=③資金配分!$D$2, B286=③資金配分!$D$1, B286=③資金配分!$D$2, C286=③資金配分!$D$1, C286=③資金配分!$D$2), 0, IF(OR(A286=③資金配分!$D$4, A286=③資金配分!$D$5, A286=③資金配分!$D$6, B286=③資金配分!$D$4, B286=③資金配分!$D$5, B286=③資金配分!$D$6, C286=③資金配分!$D$4, C286=③資金配分!$D$5, C286=③資金配分!$D$6), 0, IF(AND(③資金配分!$B$8&gt;0, G286&lt;=③資金配分!$B$8), 1, 0))))</f>
        <v>0</v>
      </c>
      <c r="I286">
        <f t="shared" si="9"/>
        <v>0</v>
      </c>
      <c r="J286">
        <f>IF(I286&gt;0, ROUND((I286 / SUM($I$2:$I$817)) * ③資金配分!$B$7, -2), 0)</f>
        <v>0</v>
      </c>
    </row>
    <row r="287" spans="1:10" x14ac:dyDescent="0.4">
      <c r="A287">
        <v>3</v>
      </c>
      <c r="B287">
        <v>6</v>
      </c>
      <c r="C287">
        <v>9</v>
      </c>
      <c r="D287">
        <f>IFERROR(IF(_xlfn.XLOOKUP(A287, ①オッズ入力!$A$2:$A$19, ①オッズ入力!$D$2:$D$19, "")="", 0, _xlfn.XLOOKUP(A287, ①オッズ入力!$A$2:$A$19, ①オッズ入力!$D$2:$D$19, 0)), 0)</f>
        <v>0.17014298287160048</v>
      </c>
      <c r="E287">
        <f>IFERROR(IF(_xlfn.XLOOKUP(B287, ①オッズ入力!$A$2:$A$19, ①オッズ入力!$D$2:$D$19, "")="", 0, _xlfn.XLOOKUP(B287, ①オッズ入力!$A$2:$A$19, ①オッズ入力!$D$2:$D$19, 0)), 0)</f>
        <v>3.2481842184578273E-2</v>
      </c>
      <c r="F287">
        <f>IFERROR(IF(_xlfn.XLOOKUP(C287, ①オッズ入力!$A$2:$A$19, ①オッズ入力!$D$2:$D$19, "")="", 0, _xlfn.XLOOKUP(C287, ①オッズ入力!$A$2:$A$19, ①オッズ入力!$D$2:$D$19, 0)), 0)</f>
        <v>1.9850014668353389E-2</v>
      </c>
      <c r="G287">
        <f t="shared" si="8"/>
        <v>9115.5834998202354</v>
      </c>
      <c r="H287">
        <f>IF(G287="", 0, IF(OR(A287=③資金配分!$D$1, A287=③資金配分!$D$2, B287=③資金配分!$D$1, B287=③資金配分!$D$2, C287=③資金配分!$D$1, C287=③資金配分!$D$2), 0, IF(OR(A287=③資金配分!$D$4, A287=③資金配分!$D$5, A287=③資金配分!$D$6, B287=③資金配分!$D$4, B287=③資金配分!$D$5, B287=③資金配分!$D$6, C287=③資金配分!$D$4, C287=③資金配分!$D$5, C287=③資金配分!$D$6), 0, IF(AND(③資金配分!$B$8&gt;0, G287&lt;=③資金配分!$B$8), 1, 0))))</f>
        <v>0</v>
      </c>
      <c r="I287">
        <f t="shared" si="9"/>
        <v>0</v>
      </c>
      <c r="J287">
        <f>IF(I287&gt;0, ROUND((I287 / SUM($I$2:$I$817)) * ③資金配分!$B$7, -2), 0)</f>
        <v>0</v>
      </c>
    </row>
    <row r="288" spans="1:10" x14ac:dyDescent="0.4">
      <c r="A288">
        <v>3</v>
      </c>
      <c r="B288">
        <v>6</v>
      </c>
      <c r="C288">
        <v>10</v>
      </c>
      <c r="D288">
        <f>IFERROR(IF(_xlfn.XLOOKUP(A288, ①オッズ入力!$A$2:$A$19, ①オッズ入力!$D$2:$D$19, "")="", 0, _xlfn.XLOOKUP(A288, ①オッズ入力!$A$2:$A$19, ①オッズ入力!$D$2:$D$19, 0)), 0)</f>
        <v>0.17014298287160048</v>
      </c>
      <c r="E288">
        <f>IFERROR(IF(_xlfn.XLOOKUP(B288, ①オッズ入力!$A$2:$A$19, ①オッズ入力!$D$2:$D$19, "")="", 0, _xlfn.XLOOKUP(B288, ①オッズ入力!$A$2:$A$19, ①オッズ入力!$D$2:$D$19, 0)), 0)</f>
        <v>3.2481842184578273E-2</v>
      </c>
      <c r="F288">
        <f>IFERROR(IF(_xlfn.XLOOKUP(C288, ①オッズ入力!$A$2:$A$19, ①オッズ入力!$D$2:$D$19, "")="", 0, _xlfn.XLOOKUP(C288, ①オッズ入力!$A$2:$A$19, ①オッズ入力!$D$2:$D$19, 0)), 0)</f>
        <v>1.7865013201518051E-2</v>
      </c>
      <c r="G288">
        <f t="shared" si="8"/>
        <v>10128.426110911372</v>
      </c>
      <c r="H288">
        <f>IF(G288="", 0, IF(OR(A288=③資金配分!$D$1, A288=③資金配分!$D$2, B288=③資金配分!$D$1, B288=③資金配分!$D$2, C288=③資金配分!$D$1, C288=③資金配分!$D$2), 0, IF(OR(A288=③資金配分!$D$4, A288=③資金配分!$D$5, A288=③資金配分!$D$6, B288=③資金配分!$D$4, B288=③資金配分!$D$5, B288=③資金配分!$D$6, C288=③資金配分!$D$4, C288=③資金配分!$D$5, C288=③資金配分!$D$6), 0, IF(AND(③資金配分!$B$8&gt;0, G288&lt;=③資金配分!$B$8), 1, 0))))</f>
        <v>0</v>
      </c>
      <c r="I288">
        <f t="shared" si="9"/>
        <v>0</v>
      </c>
      <c r="J288">
        <f>IF(I288&gt;0, ROUND((I288 / SUM($I$2:$I$817)) * ③資金配分!$B$7, -2), 0)</f>
        <v>0</v>
      </c>
    </row>
    <row r="289" spans="1:10" x14ac:dyDescent="0.4">
      <c r="A289">
        <v>3</v>
      </c>
      <c r="B289">
        <v>6</v>
      </c>
      <c r="C289">
        <v>11</v>
      </c>
      <c r="D289">
        <f>IFERROR(IF(_xlfn.XLOOKUP(A289, ①オッズ入力!$A$2:$A$19, ①オッズ入力!$D$2:$D$19, "")="", 0, _xlfn.XLOOKUP(A289, ①オッズ入力!$A$2:$A$19, ①オッズ入力!$D$2:$D$19, 0)), 0)</f>
        <v>0.17014298287160048</v>
      </c>
      <c r="E289">
        <f>IFERROR(IF(_xlfn.XLOOKUP(B289, ①オッズ入力!$A$2:$A$19, ①オッズ入力!$D$2:$D$19, "")="", 0, _xlfn.XLOOKUP(B289, ①オッズ入力!$A$2:$A$19, ①オッズ入力!$D$2:$D$19, 0)), 0)</f>
        <v>3.2481842184578273E-2</v>
      </c>
      <c r="F289">
        <f>IFERROR(IF(_xlfn.XLOOKUP(C289, ①オッズ入力!$A$2:$A$19, ①オッズ入力!$D$2:$D$19, "")="", 0, _xlfn.XLOOKUP(C289, ①オッズ入力!$A$2:$A$19, ①オッズ入力!$D$2:$D$19, 0)), 0)</f>
        <v>1.6240921092289137E-2</v>
      </c>
      <c r="G289">
        <f t="shared" si="8"/>
        <v>11141.268722002509</v>
      </c>
      <c r="H289">
        <f>IF(G289="", 0, IF(OR(A289=③資金配分!$D$1, A289=③資金配分!$D$2, B289=③資金配分!$D$1, B289=③資金配分!$D$2, C289=③資金配分!$D$1, C289=③資金配分!$D$2), 0, IF(OR(A289=③資金配分!$D$4, A289=③資金配分!$D$5, A289=③資金配分!$D$6, B289=③資金配分!$D$4, B289=③資金配分!$D$5, B289=③資金配分!$D$6, C289=③資金配分!$D$4, C289=③資金配分!$D$5, C289=③資金配分!$D$6), 0, IF(AND(③資金配分!$B$8&gt;0, G289&lt;=③資金配分!$B$8), 1, 0))))</f>
        <v>0</v>
      </c>
      <c r="I289">
        <f t="shared" si="9"/>
        <v>0</v>
      </c>
      <c r="J289">
        <f>IF(I289&gt;0, ROUND((I289 / SUM($I$2:$I$817)) * ③資金配分!$B$7, -2), 0)</f>
        <v>0</v>
      </c>
    </row>
    <row r="290" spans="1:10" x14ac:dyDescent="0.4">
      <c r="A290">
        <v>3</v>
      </c>
      <c r="B290">
        <v>6</v>
      </c>
      <c r="C290">
        <v>12</v>
      </c>
      <c r="D290">
        <f>IFERROR(IF(_xlfn.XLOOKUP(A290, ①オッズ入力!$A$2:$A$19, ①オッズ入力!$D$2:$D$19, "")="", 0, _xlfn.XLOOKUP(A290, ①オッズ入力!$A$2:$A$19, ①オッズ入力!$D$2:$D$19, 0)), 0)</f>
        <v>0.17014298287160048</v>
      </c>
      <c r="E290">
        <f>IFERROR(IF(_xlfn.XLOOKUP(B290, ①オッズ入力!$A$2:$A$19, ①オッズ入力!$D$2:$D$19, "")="", 0, _xlfn.XLOOKUP(B290, ①オッズ入力!$A$2:$A$19, ①オッズ入力!$D$2:$D$19, 0)), 0)</f>
        <v>3.2481842184578273E-2</v>
      </c>
      <c r="F290">
        <f>IFERROR(IF(_xlfn.XLOOKUP(C290, ①オッズ入力!$A$2:$A$19, ①オッズ入力!$D$2:$D$19, "")="", 0, _xlfn.XLOOKUP(C290, ①オッズ入力!$A$2:$A$19, ①オッズ入力!$D$2:$D$19, 0)), 0)</f>
        <v>1.4887511001265043E-2</v>
      </c>
      <c r="G290">
        <f t="shared" si="8"/>
        <v>12154.111333093644</v>
      </c>
      <c r="H290">
        <f>IF(G290="", 0, IF(OR(A290=③資金配分!$D$1, A290=③資金配分!$D$2, B290=③資金配分!$D$1, B290=③資金配分!$D$2, C290=③資金配分!$D$1, C290=③資金配分!$D$2), 0, IF(OR(A290=③資金配分!$D$4, A290=③資金配分!$D$5, A290=③資金配分!$D$6, B290=③資金配分!$D$4, B290=③資金配分!$D$5, B290=③資金配分!$D$6, C290=③資金配分!$D$4, C290=③資金配分!$D$5, C290=③資金配分!$D$6), 0, IF(AND(③資金配分!$B$8&gt;0, G290&lt;=③資金配分!$B$8), 1, 0))))</f>
        <v>0</v>
      </c>
      <c r="I290">
        <f t="shared" si="9"/>
        <v>0</v>
      </c>
      <c r="J290">
        <f>IF(I290&gt;0, ROUND((I290 / SUM($I$2:$I$817)) * ③資金配分!$B$7, -2), 0)</f>
        <v>0</v>
      </c>
    </row>
    <row r="291" spans="1:10" x14ac:dyDescent="0.4">
      <c r="A291">
        <v>3</v>
      </c>
      <c r="B291">
        <v>6</v>
      </c>
      <c r="C291">
        <v>13</v>
      </c>
      <c r="D291">
        <f>IFERROR(IF(_xlfn.XLOOKUP(A291, ①オッズ入力!$A$2:$A$19, ①オッズ入力!$D$2:$D$19, "")="", 0, _xlfn.XLOOKUP(A291, ①オッズ入力!$A$2:$A$19, ①オッズ入力!$D$2:$D$19, 0)), 0)</f>
        <v>0.17014298287160048</v>
      </c>
      <c r="E291">
        <f>IFERROR(IF(_xlfn.XLOOKUP(B291, ①オッズ入力!$A$2:$A$19, ①オッズ入力!$D$2:$D$19, "")="", 0, _xlfn.XLOOKUP(B291, ①オッズ入力!$A$2:$A$19, ①オッズ入力!$D$2:$D$19, 0)), 0)</f>
        <v>3.2481842184578273E-2</v>
      </c>
      <c r="F291">
        <f>IFERROR(IF(_xlfn.XLOOKUP(C291, ①オッズ入力!$A$2:$A$19, ①オッズ入力!$D$2:$D$19, "")="", 0, _xlfn.XLOOKUP(C291, ①オッズ入力!$A$2:$A$19, ①オッズ入力!$D$2:$D$19, 0)), 0)</f>
        <v>1.2760723715370036E-2</v>
      </c>
      <c r="G291">
        <f t="shared" si="8"/>
        <v>14179.796555275921</v>
      </c>
      <c r="H291">
        <f>IF(G291="", 0, IF(OR(A291=③資金配分!$D$1, A291=③資金配分!$D$2, B291=③資金配分!$D$1, B291=③資金配分!$D$2, C291=③資金配分!$D$1, C291=③資金配分!$D$2), 0, IF(OR(A291=③資金配分!$D$4, A291=③資金配分!$D$5, A291=③資金配分!$D$6, B291=③資金配分!$D$4, B291=③資金配分!$D$5, B291=③資金配分!$D$6, C291=③資金配分!$D$4, C291=③資金配分!$D$5, C291=③資金配分!$D$6), 0, IF(AND(③資金配分!$B$8&gt;0, G291&lt;=③資金配分!$B$8), 1, 0))))</f>
        <v>0</v>
      </c>
      <c r="I291">
        <f t="shared" si="9"/>
        <v>0</v>
      </c>
      <c r="J291">
        <f>IF(I291&gt;0, ROUND((I291 / SUM($I$2:$I$817)) * ③資金配分!$B$7, -2), 0)</f>
        <v>0</v>
      </c>
    </row>
    <row r="292" spans="1:10" x14ac:dyDescent="0.4">
      <c r="A292">
        <v>3</v>
      </c>
      <c r="B292">
        <v>6</v>
      </c>
      <c r="C292">
        <v>14</v>
      </c>
      <c r="D292">
        <f>IFERROR(IF(_xlfn.XLOOKUP(A292, ①オッズ入力!$A$2:$A$19, ①オッズ入力!$D$2:$D$19, "")="", 0, _xlfn.XLOOKUP(A292, ①オッズ入力!$A$2:$A$19, ①オッズ入力!$D$2:$D$19, 0)), 0)</f>
        <v>0.17014298287160048</v>
      </c>
      <c r="E292">
        <f>IFERROR(IF(_xlfn.XLOOKUP(B292, ①オッズ入力!$A$2:$A$19, ①オッズ入力!$D$2:$D$19, "")="", 0, _xlfn.XLOOKUP(B292, ①オッズ入力!$A$2:$A$19, ①オッズ入力!$D$2:$D$19, 0)), 0)</f>
        <v>3.2481842184578273E-2</v>
      </c>
      <c r="F292">
        <f>IFERROR(IF(_xlfn.XLOOKUP(C292, ①オッズ入力!$A$2:$A$19, ①オッズ入力!$D$2:$D$19, "")="", 0, _xlfn.XLOOKUP(C292, ①オッズ入力!$A$2:$A$19, ①オッズ入力!$D$2:$D$19, 0)), 0)</f>
        <v>1.1525814968721322E-2</v>
      </c>
      <c r="G292">
        <f t="shared" si="8"/>
        <v>15699.060471912628</v>
      </c>
      <c r="H292">
        <f>IF(G292="", 0, IF(OR(A292=③資金配分!$D$1, A292=③資金配分!$D$2, B292=③資金配分!$D$1, B292=③資金配分!$D$2, C292=③資金配分!$D$1, C292=③資金配分!$D$2), 0, IF(OR(A292=③資金配分!$D$4, A292=③資金配分!$D$5, A292=③資金配分!$D$6, B292=③資金配分!$D$4, B292=③資金配分!$D$5, B292=③資金配分!$D$6, C292=③資金配分!$D$4, C292=③資金配分!$D$5, C292=③資金配分!$D$6), 0, IF(AND(③資金配分!$B$8&gt;0, G292&lt;=③資金配分!$B$8), 1, 0))))</f>
        <v>0</v>
      </c>
      <c r="I292">
        <f t="shared" si="9"/>
        <v>0</v>
      </c>
      <c r="J292">
        <f>IF(I292&gt;0, ROUND((I292 / SUM($I$2:$I$817)) * ③資金配分!$B$7, -2), 0)</f>
        <v>0</v>
      </c>
    </row>
    <row r="293" spans="1:10" x14ac:dyDescent="0.4">
      <c r="A293">
        <v>3</v>
      </c>
      <c r="B293">
        <v>6</v>
      </c>
      <c r="C293">
        <v>15</v>
      </c>
      <c r="D293">
        <f>IFERROR(IF(_xlfn.XLOOKUP(A293, ①オッズ入力!$A$2:$A$19, ①オッズ入力!$D$2:$D$19, "")="", 0, _xlfn.XLOOKUP(A293, ①オッズ入力!$A$2:$A$19, ①オッズ入力!$D$2:$D$19, 0)), 0)</f>
        <v>0.17014298287160048</v>
      </c>
      <c r="E293">
        <f>IFERROR(IF(_xlfn.XLOOKUP(B293, ①オッズ入力!$A$2:$A$19, ①オッズ入力!$D$2:$D$19, "")="", 0, _xlfn.XLOOKUP(B293, ①オッズ入力!$A$2:$A$19, ①オッズ入力!$D$2:$D$19, 0)), 0)</f>
        <v>3.2481842184578273E-2</v>
      </c>
      <c r="F293">
        <f>IFERROR(IF(_xlfn.XLOOKUP(C293, ①オッズ入力!$A$2:$A$19, ①オッズ入力!$D$2:$D$19, "")="", 0, _xlfn.XLOOKUP(C293, ①オッズ入力!$A$2:$A$19, ①オッズ入力!$D$2:$D$19, 0)), 0)</f>
        <v>1.0697612695519792E-2</v>
      </c>
      <c r="G293">
        <f t="shared" si="8"/>
        <v>16914.471605221988</v>
      </c>
      <c r="H293">
        <f>IF(G293="", 0, IF(OR(A293=③資金配分!$D$1, A293=③資金配分!$D$2, B293=③資金配分!$D$1, B293=③資金配分!$D$2, C293=③資金配分!$D$1, C293=③資金配分!$D$2), 0, IF(OR(A293=③資金配分!$D$4, A293=③資金配分!$D$5, A293=③資金配分!$D$6, B293=③資金配分!$D$4, B293=③資金配分!$D$5, B293=③資金配分!$D$6, C293=③資金配分!$D$4, C293=③資金配分!$D$5, C293=③資金配分!$D$6), 0, IF(AND(③資金配分!$B$8&gt;0, G293&lt;=③資金配分!$B$8), 1, 0))))</f>
        <v>0</v>
      </c>
      <c r="I293">
        <f t="shared" si="9"/>
        <v>0</v>
      </c>
      <c r="J293">
        <f>IF(I293&gt;0, ROUND((I293 / SUM($I$2:$I$817)) * ③資金配分!$B$7, -2), 0)</f>
        <v>0</v>
      </c>
    </row>
    <row r="294" spans="1:10" x14ac:dyDescent="0.4">
      <c r="A294">
        <v>3</v>
      </c>
      <c r="B294">
        <v>6</v>
      </c>
      <c r="C294">
        <v>16</v>
      </c>
      <c r="D294">
        <f>IFERROR(IF(_xlfn.XLOOKUP(A294, ①オッズ入力!$A$2:$A$19, ①オッズ入力!$D$2:$D$19, "")="", 0, _xlfn.XLOOKUP(A294, ①オッズ入力!$A$2:$A$19, ①オッズ入力!$D$2:$D$19, 0)), 0)</f>
        <v>0.17014298287160048</v>
      </c>
      <c r="E294">
        <f>IFERROR(IF(_xlfn.XLOOKUP(B294, ①オッズ入力!$A$2:$A$19, ①オッズ入力!$D$2:$D$19, "")="", 0, _xlfn.XLOOKUP(B294, ①オッズ入力!$A$2:$A$19, ①オッズ入力!$D$2:$D$19, 0)), 0)</f>
        <v>3.2481842184578273E-2</v>
      </c>
      <c r="F294">
        <f>IFERROR(IF(_xlfn.XLOOKUP(C294, ①オッズ入力!$A$2:$A$19, ①オッズ入力!$D$2:$D$19, "")="", 0, _xlfn.XLOOKUP(C294, ①オッズ入力!$A$2:$A$19, ①オッズ入力!$D$2:$D$19, 0)), 0)</f>
        <v>9.8701730395127345E-3</v>
      </c>
      <c r="G294">
        <f t="shared" si="8"/>
        <v>18332.451260749585</v>
      </c>
      <c r="H294">
        <f>IF(G294="", 0, IF(OR(A294=③資金配分!$D$1, A294=③資金配分!$D$2, B294=③資金配分!$D$1, B294=③資金配分!$D$2, C294=③資金配分!$D$1, C294=③資金配分!$D$2), 0, IF(OR(A294=③資金配分!$D$4, A294=③資金配分!$D$5, A294=③資金配分!$D$6, B294=③資金配分!$D$4, B294=③資金配分!$D$5, B294=③資金配分!$D$6, C294=③資金配分!$D$4, C294=③資金配分!$D$5, C294=③資金配分!$D$6), 0, IF(AND(③資金配分!$B$8&gt;0, G294&lt;=③資金配分!$B$8), 1, 0))))</f>
        <v>0</v>
      </c>
      <c r="I294">
        <f t="shared" si="9"/>
        <v>0</v>
      </c>
      <c r="J294">
        <f>IF(I294&gt;0, ROUND((I294 / SUM($I$2:$I$817)) * ③資金配分!$B$7, -2), 0)</f>
        <v>0</v>
      </c>
    </row>
    <row r="295" spans="1:10" x14ac:dyDescent="0.4">
      <c r="A295">
        <v>3</v>
      </c>
      <c r="B295">
        <v>6</v>
      </c>
      <c r="C295">
        <v>17</v>
      </c>
      <c r="D295">
        <f>IFERROR(IF(_xlfn.XLOOKUP(A295, ①オッズ入力!$A$2:$A$19, ①オッズ入力!$D$2:$D$19, "")="", 0, _xlfn.XLOOKUP(A295, ①オッズ入力!$A$2:$A$19, ①オッズ入力!$D$2:$D$19, 0)), 0)</f>
        <v>0.17014298287160048</v>
      </c>
      <c r="E295">
        <f>IFERROR(IF(_xlfn.XLOOKUP(B295, ①オッズ入力!$A$2:$A$19, ①オッズ入力!$D$2:$D$19, "")="", 0, _xlfn.XLOOKUP(B295, ①オッズ入力!$A$2:$A$19, ①オッズ入力!$D$2:$D$19, 0)), 0)</f>
        <v>3.2481842184578273E-2</v>
      </c>
      <c r="F295">
        <f>IFERROR(IF(_xlfn.XLOOKUP(C295, ①オッズ入力!$A$2:$A$19, ①オッズ入力!$D$2:$D$19, "")="", 0, _xlfn.XLOOKUP(C295, ①オッズ入力!$A$2:$A$19, ①オッズ入力!$D$2:$D$19, 0)), 0)</f>
        <v>9.1615452315477186E-3</v>
      </c>
      <c r="G295">
        <f t="shared" si="8"/>
        <v>19750.430916277175</v>
      </c>
      <c r="H295">
        <f>IF(G295="", 0, IF(OR(A295=③資金配分!$D$1, A295=③資金配分!$D$2, B295=③資金配分!$D$1, B295=③資金配分!$D$2, C295=③資金配分!$D$1, C295=③資金配分!$D$2), 0, IF(OR(A295=③資金配分!$D$4, A295=③資金配分!$D$5, A295=③資金配分!$D$6, B295=③資金配分!$D$4, B295=③資金配分!$D$5, B295=③資金配分!$D$6, C295=③資金配分!$D$4, C295=③資金配分!$D$5, C295=③資金配分!$D$6), 0, IF(AND(③資金配分!$B$8&gt;0, G295&lt;=③資金配分!$B$8), 1, 0))))</f>
        <v>0</v>
      </c>
      <c r="I295">
        <f t="shared" si="9"/>
        <v>0</v>
      </c>
      <c r="J295">
        <f>IF(I295&gt;0, ROUND((I295 / SUM($I$2:$I$817)) * ③資金配分!$B$7, -2), 0)</f>
        <v>0</v>
      </c>
    </row>
    <row r="296" spans="1:10" x14ac:dyDescent="0.4">
      <c r="A296">
        <v>3</v>
      </c>
      <c r="B296">
        <v>6</v>
      </c>
      <c r="C296">
        <v>18</v>
      </c>
      <c r="D296">
        <f>IFERROR(IF(_xlfn.XLOOKUP(A296, ①オッズ入力!$A$2:$A$19, ①オッズ入力!$D$2:$D$19, "")="", 0, _xlfn.XLOOKUP(A296, ①オッズ入力!$A$2:$A$19, ①オッズ入力!$D$2:$D$19, 0)), 0)</f>
        <v>0.17014298287160048</v>
      </c>
      <c r="E296">
        <f>IFERROR(IF(_xlfn.XLOOKUP(B296, ①オッズ入力!$A$2:$A$19, ①オッズ入力!$D$2:$D$19, "")="", 0, _xlfn.XLOOKUP(B296, ①オッズ入力!$A$2:$A$19, ①オッズ入力!$D$2:$D$19, 0)), 0)</f>
        <v>3.2481842184578273E-2</v>
      </c>
      <c r="F296">
        <f>IFERROR(IF(_xlfn.XLOOKUP(C296, ①オッズ入力!$A$2:$A$19, ①オッズ入力!$D$2:$D$19, "")="", 0, _xlfn.XLOOKUP(C296, ①オッズ入力!$A$2:$A$19, ①オッズ入力!$D$2:$D$19, 0)), 0)</f>
        <v>8.5478532064679671E-3</v>
      </c>
      <c r="G296">
        <f t="shared" si="8"/>
        <v>21168.410571804765</v>
      </c>
      <c r="H296">
        <f>IF(G296="", 0, IF(OR(A296=③資金配分!$D$1, A296=③資金配分!$D$2, B296=③資金配分!$D$1, B296=③資金配分!$D$2, C296=③資金配分!$D$1, C296=③資金配分!$D$2), 0, IF(OR(A296=③資金配分!$D$4, A296=③資金配分!$D$5, A296=③資金配分!$D$6, B296=③資金配分!$D$4, B296=③資金配分!$D$5, B296=③資金配分!$D$6, C296=③資金配分!$D$4, C296=③資金配分!$D$5, C296=③資金配分!$D$6), 0, IF(AND(③資金配分!$B$8&gt;0, G296&lt;=③資金配分!$B$8), 1, 0))))</f>
        <v>0</v>
      </c>
      <c r="I296">
        <f t="shared" si="9"/>
        <v>0</v>
      </c>
      <c r="J296">
        <f>IF(I296&gt;0, ROUND((I296 / SUM($I$2:$I$817)) * ③資金配分!$B$7, -2), 0)</f>
        <v>0</v>
      </c>
    </row>
    <row r="297" spans="1:10" x14ac:dyDescent="0.4">
      <c r="A297">
        <v>3</v>
      </c>
      <c r="B297">
        <v>7</v>
      </c>
      <c r="C297">
        <v>8</v>
      </c>
      <c r="D297">
        <f>IFERROR(IF(_xlfn.XLOOKUP(A297, ①オッズ入力!$A$2:$A$19, ①オッズ入力!$D$2:$D$19, "")="", 0, _xlfn.XLOOKUP(A297, ①オッズ入力!$A$2:$A$19, ①オッズ入力!$D$2:$D$19, 0)), 0)</f>
        <v>0.17014298287160048</v>
      </c>
      <c r="E297">
        <f>IFERROR(IF(_xlfn.XLOOKUP(B297, ①オッズ入力!$A$2:$A$19, ①オッズ入力!$D$2:$D$19, "")="", 0, _xlfn.XLOOKUP(B297, ①オッズ入力!$A$2:$A$19, ①オッズ入力!$D$2:$D$19, 0)), 0)</f>
        <v>2.9775022002530085E-2</v>
      </c>
      <c r="F297">
        <f>IFERROR(IF(_xlfn.XLOOKUP(C297, ①オッズ入力!$A$2:$A$19, ①オッズ入力!$D$2:$D$19, "")="", 0, _xlfn.XLOOKUP(C297, ①オッズ入力!$A$2:$A$19, ①オッズ入力!$D$2:$D$19, 0)), 0)</f>
        <v>2.3820017602024068E-2</v>
      </c>
      <c r="G297">
        <f t="shared" si="8"/>
        <v>8286.8940907456672</v>
      </c>
      <c r="H297">
        <f>IF(G297="", 0, IF(OR(A297=③資金配分!$D$1, A297=③資金配分!$D$2, B297=③資金配分!$D$1, B297=③資金配分!$D$2, C297=③資金配分!$D$1, C297=③資金配分!$D$2), 0, IF(OR(A297=③資金配分!$D$4, A297=③資金配分!$D$5, A297=③資金配分!$D$6, B297=③資金配分!$D$4, B297=③資金配分!$D$5, B297=③資金配分!$D$6, C297=③資金配分!$D$4, C297=③資金配分!$D$5, C297=③資金配分!$D$6), 0, IF(AND(③資金配分!$B$8&gt;0, G297&lt;=③資金配分!$B$8), 1, 0))))</f>
        <v>0</v>
      </c>
      <c r="I297">
        <f t="shared" si="9"/>
        <v>0</v>
      </c>
      <c r="J297">
        <f>IF(I297&gt;0, ROUND((I297 / SUM($I$2:$I$817)) * ③資金配分!$B$7, -2), 0)</f>
        <v>0</v>
      </c>
    </row>
    <row r="298" spans="1:10" x14ac:dyDescent="0.4">
      <c r="A298">
        <v>3</v>
      </c>
      <c r="B298">
        <v>7</v>
      </c>
      <c r="C298">
        <v>9</v>
      </c>
      <c r="D298">
        <f>IFERROR(IF(_xlfn.XLOOKUP(A298, ①オッズ入力!$A$2:$A$19, ①オッズ入力!$D$2:$D$19, "")="", 0, _xlfn.XLOOKUP(A298, ①オッズ入力!$A$2:$A$19, ①オッズ入力!$D$2:$D$19, 0)), 0)</f>
        <v>0.17014298287160048</v>
      </c>
      <c r="E298">
        <f>IFERROR(IF(_xlfn.XLOOKUP(B298, ①オッズ入力!$A$2:$A$19, ①オッズ入力!$D$2:$D$19, "")="", 0, _xlfn.XLOOKUP(B298, ①オッズ入力!$A$2:$A$19, ①オッズ入力!$D$2:$D$19, 0)), 0)</f>
        <v>2.9775022002530085E-2</v>
      </c>
      <c r="F298">
        <f>IFERROR(IF(_xlfn.XLOOKUP(C298, ①オッズ入力!$A$2:$A$19, ①オッズ入力!$D$2:$D$19, "")="", 0, _xlfn.XLOOKUP(C298, ①オッズ入力!$A$2:$A$19, ①オッズ入力!$D$2:$D$19, 0)), 0)</f>
        <v>1.9850014668353389E-2</v>
      </c>
      <c r="G298">
        <f t="shared" si="8"/>
        <v>9944.2729088948017</v>
      </c>
      <c r="H298">
        <f>IF(G298="", 0, IF(OR(A298=③資金配分!$D$1, A298=③資金配分!$D$2, B298=③資金配分!$D$1, B298=③資金配分!$D$2, C298=③資金配分!$D$1, C298=③資金配分!$D$2), 0, IF(OR(A298=③資金配分!$D$4, A298=③資金配分!$D$5, A298=③資金配分!$D$6, B298=③資金配分!$D$4, B298=③資金配分!$D$5, B298=③資金配分!$D$6, C298=③資金配分!$D$4, C298=③資金配分!$D$5, C298=③資金配分!$D$6), 0, IF(AND(③資金配分!$B$8&gt;0, G298&lt;=③資金配分!$B$8), 1, 0))))</f>
        <v>0</v>
      </c>
      <c r="I298">
        <f t="shared" si="9"/>
        <v>0</v>
      </c>
      <c r="J298">
        <f>IF(I298&gt;0, ROUND((I298 / SUM($I$2:$I$817)) * ③資金配分!$B$7, -2), 0)</f>
        <v>0</v>
      </c>
    </row>
    <row r="299" spans="1:10" x14ac:dyDescent="0.4">
      <c r="A299">
        <v>3</v>
      </c>
      <c r="B299">
        <v>7</v>
      </c>
      <c r="C299">
        <v>10</v>
      </c>
      <c r="D299">
        <f>IFERROR(IF(_xlfn.XLOOKUP(A299, ①オッズ入力!$A$2:$A$19, ①オッズ入力!$D$2:$D$19, "")="", 0, _xlfn.XLOOKUP(A299, ①オッズ入力!$A$2:$A$19, ①オッズ入力!$D$2:$D$19, 0)), 0)</f>
        <v>0.17014298287160048</v>
      </c>
      <c r="E299">
        <f>IFERROR(IF(_xlfn.XLOOKUP(B299, ①オッズ入力!$A$2:$A$19, ①オッズ入力!$D$2:$D$19, "")="", 0, _xlfn.XLOOKUP(B299, ①オッズ入力!$A$2:$A$19, ①オッズ入力!$D$2:$D$19, 0)), 0)</f>
        <v>2.9775022002530085E-2</v>
      </c>
      <c r="F299">
        <f>IFERROR(IF(_xlfn.XLOOKUP(C299, ①オッズ入力!$A$2:$A$19, ①オッズ入力!$D$2:$D$19, "")="", 0, _xlfn.XLOOKUP(C299, ①オッズ入力!$A$2:$A$19, ①オッズ入力!$D$2:$D$19, 0)), 0)</f>
        <v>1.7865013201518051E-2</v>
      </c>
      <c r="G299">
        <f t="shared" si="8"/>
        <v>11049.192120994223</v>
      </c>
      <c r="H299">
        <f>IF(G299="", 0, IF(OR(A299=③資金配分!$D$1, A299=③資金配分!$D$2, B299=③資金配分!$D$1, B299=③資金配分!$D$2, C299=③資金配分!$D$1, C299=③資金配分!$D$2), 0, IF(OR(A299=③資金配分!$D$4, A299=③資金配分!$D$5, A299=③資金配分!$D$6, B299=③資金配分!$D$4, B299=③資金配分!$D$5, B299=③資金配分!$D$6, C299=③資金配分!$D$4, C299=③資金配分!$D$5, C299=③資金配分!$D$6), 0, IF(AND(③資金配分!$B$8&gt;0, G299&lt;=③資金配分!$B$8), 1, 0))))</f>
        <v>0</v>
      </c>
      <c r="I299">
        <f t="shared" si="9"/>
        <v>0</v>
      </c>
      <c r="J299">
        <f>IF(I299&gt;0, ROUND((I299 / SUM($I$2:$I$817)) * ③資金配分!$B$7, -2), 0)</f>
        <v>0</v>
      </c>
    </row>
    <row r="300" spans="1:10" x14ac:dyDescent="0.4">
      <c r="A300">
        <v>3</v>
      </c>
      <c r="B300">
        <v>7</v>
      </c>
      <c r="C300">
        <v>11</v>
      </c>
      <c r="D300">
        <f>IFERROR(IF(_xlfn.XLOOKUP(A300, ①オッズ入力!$A$2:$A$19, ①オッズ入力!$D$2:$D$19, "")="", 0, _xlfn.XLOOKUP(A300, ①オッズ入力!$A$2:$A$19, ①オッズ入力!$D$2:$D$19, 0)), 0)</f>
        <v>0.17014298287160048</v>
      </c>
      <c r="E300">
        <f>IFERROR(IF(_xlfn.XLOOKUP(B300, ①オッズ入力!$A$2:$A$19, ①オッズ入力!$D$2:$D$19, "")="", 0, _xlfn.XLOOKUP(B300, ①オッズ入力!$A$2:$A$19, ①オッズ入力!$D$2:$D$19, 0)), 0)</f>
        <v>2.9775022002530085E-2</v>
      </c>
      <c r="F300">
        <f>IFERROR(IF(_xlfn.XLOOKUP(C300, ①オッズ入力!$A$2:$A$19, ①オッズ入力!$D$2:$D$19, "")="", 0, _xlfn.XLOOKUP(C300, ①オッズ入力!$A$2:$A$19, ①オッズ入力!$D$2:$D$19, 0)), 0)</f>
        <v>1.6240921092289137E-2</v>
      </c>
      <c r="G300">
        <f t="shared" si="8"/>
        <v>12154.111333093646</v>
      </c>
      <c r="H300">
        <f>IF(G300="", 0, IF(OR(A300=③資金配分!$D$1, A300=③資金配分!$D$2, B300=③資金配分!$D$1, B300=③資金配分!$D$2, C300=③資金配分!$D$1, C300=③資金配分!$D$2), 0, IF(OR(A300=③資金配分!$D$4, A300=③資金配分!$D$5, A300=③資金配分!$D$6, B300=③資金配分!$D$4, B300=③資金配分!$D$5, B300=③資金配分!$D$6, C300=③資金配分!$D$4, C300=③資金配分!$D$5, C300=③資金配分!$D$6), 0, IF(AND(③資金配分!$B$8&gt;0, G300&lt;=③資金配分!$B$8), 1, 0))))</f>
        <v>0</v>
      </c>
      <c r="I300">
        <f t="shared" si="9"/>
        <v>0</v>
      </c>
      <c r="J300">
        <f>IF(I300&gt;0, ROUND((I300 / SUM($I$2:$I$817)) * ③資金配分!$B$7, -2), 0)</f>
        <v>0</v>
      </c>
    </row>
    <row r="301" spans="1:10" x14ac:dyDescent="0.4">
      <c r="A301">
        <v>3</v>
      </c>
      <c r="B301">
        <v>7</v>
      </c>
      <c r="C301">
        <v>12</v>
      </c>
      <c r="D301">
        <f>IFERROR(IF(_xlfn.XLOOKUP(A301, ①オッズ入力!$A$2:$A$19, ①オッズ入力!$D$2:$D$19, "")="", 0, _xlfn.XLOOKUP(A301, ①オッズ入力!$A$2:$A$19, ①オッズ入力!$D$2:$D$19, 0)), 0)</f>
        <v>0.17014298287160048</v>
      </c>
      <c r="E301">
        <f>IFERROR(IF(_xlfn.XLOOKUP(B301, ①オッズ入力!$A$2:$A$19, ①オッズ入力!$D$2:$D$19, "")="", 0, _xlfn.XLOOKUP(B301, ①オッズ入力!$A$2:$A$19, ①オッズ入力!$D$2:$D$19, 0)), 0)</f>
        <v>2.9775022002530085E-2</v>
      </c>
      <c r="F301">
        <f>IFERROR(IF(_xlfn.XLOOKUP(C301, ①オッズ入力!$A$2:$A$19, ①オッズ入力!$D$2:$D$19, "")="", 0, _xlfn.XLOOKUP(C301, ①オッズ入力!$A$2:$A$19, ①オッズ入力!$D$2:$D$19, 0)), 0)</f>
        <v>1.4887511001265043E-2</v>
      </c>
      <c r="G301">
        <f t="shared" si="8"/>
        <v>13259.030545193067</v>
      </c>
      <c r="H301">
        <f>IF(G301="", 0, IF(OR(A301=③資金配分!$D$1, A301=③資金配分!$D$2, B301=③資金配分!$D$1, B301=③資金配分!$D$2, C301=③資金配分!$D$1, C301=③資金配分!$D$2), 0, IF(OR(A301=③資金配分!$D$4, A301=③資金配分!$D$5, A301=③資金配分!$D$6, B301=③資金配分!$D$4, B301=③資金配分!$D$5, B301=③資金配分!$D$6, C301=③資金配分!$D$4, C301=③資金配分!$D$5, C301=③資金配分!$D$6), 0, IF(AND(③資金配分!$B$8&gt;0, G301&lt;=③資金配分!$B$8), 1, 0))))</f>
        <v>0</v>
      </c>
      <c r="I301">
        <f t="shared" si="9"/>
        <v>0</v>
      </c>
      <c r="J301">
        <f>IF(I301&gt;0, ROUND((I301 / SUM($I$2:$I$817)) * ③資金配分!$B$7, -2), 0)</f>
        <v>0</v>
      </c>
    </row>
    <row r="302" spans="1:10" x14ac:dyDescent="0.4">
      <c r="A302">
        <v>3</v>
      </c>
      <c r="B302">
        <v>7</v>
      </c>
      <c r="C302">
        <v>13</v>
      </c>
      <c r="D302">
        <f>IFERROR(IF(_xlfn.XLOOKUP(A302, ①オッズ入力!$A$2:$A$19, ①オッズ入力!$D$2:$D$19, "")="", 0, _xlfn.XLOOKUP(A302, ①オッズ入力!$A$2:$A$19, ①オッズ入力!$D$2:$D$19, 0)), 0)</f>
        <v>0.17014298287160048</v>
      </c>
      <c r="E302">
        <f>IFERROR(IF(_xlfn.XLOOKUP(B302, ①オッズ入力!$A$2:$A$19, ①オッズ入力!$D$2:$D$19, "")="", 0, _xlfn.XLOOKUP(B302, ①オッズ入力!$A$2:$A$19, ①オッズ入力!$D$2:$D$19, 0)), 0)</f>
        <v>2.9775022002530085E-2</v>
      </c>
      <c r="F302">
        <f>IFERROR(IF(_xlfn.XLOOKUP(C302, ①オッズ入力!$A$2:$A$19, ①オッズ入力!$D$2:$D$19, "")="", 0, _xlfn.XLOOKUP(C302, ①オッズ入力!$A$2:$A$19, ①オッズ入力!$D$2:$D$19, 0)), 0)</f>
        <v>1.2760723715370036E-2</v>
      </c>
      <c r="G302">
        <f t="shared" si="8"/>
        <v>15468.868969391913</v>
      </c>
      <c r="H302">
        <f>IF(G302="", 0, IF(OR(A302=③資金配分!$D$1, A302=③資金配分!$D$2, B302=③資金配分!$D$1, B302=③資金配分!$D$2, C302=③資金配分!$D$1, C302=③資金配分!$D$2), 0, IF(OR(A302=③資金配分!$D$4, A302=③資金配分!$D$5, A302=③資金配分!$D$6, B302=③資金配分!$D$4, B302=③資金配分!$D$5, B302=③資金配分!$D$6, C302=③資金配分!$D$4, C302=③資金配分!$D$5, C302=③資金配分!$D$6), 0, IF(AND(③資金配分!$B$8&gt;0, G302&lt;=③資金配分!$B$8), 1, 0))))</f>
        <v>0</v>
      </c>
      <c r="I302">
        <f t="shared" si="9"/>
        <v>0</v>
      </c>
      <c r="J302">
        <f>IF(I302&gt;0, ROUND((I302 / SUM($I$2:$I$817)) * ③資金配分!$B$7, -2), 0)</f>
        <v>0</v>
      </c>
    </row>
    <row r="303" spans="1:10" x14ac:dyDescent="0.4">
      <c r="A303">
        <v>3</v>
      </c>
      <c r="B303">
        <v>7</v>
      </c>
      <c r="C303">
        <v>14</v>
      </c>
      <c r="D303">
        <f>IFERROR(IF(_xlfn.XLOOKUP(A303, ①オッズ入力!$A$2:$A$19, ①オッズ入力!$D$2:$D$19, "")="", 0, _xlfn.XLOOKUP(A303, ①オッズ入力!$A$2:$A$19, ①オッズ入力!$D$2:$D$19, 0)), 0)</f>
        <v>0.17014298287160048</v>
      </c>
      <c r="E303">
        <f>IFERROR(IF(_xlfn.XLOOKUP(B303, ①オッズ入力!$A$2:$A$19, ①オッズ入力!$D$2:$D$19, "")="", 0, _xlfn.XLOOKUP(B303, ①オッズ入力!$A$2:$A$19, ①オッズ入力!$D$2:$D$19, 0)), 0)</f>
        <v>2.9775022002530085E-2</v>
      </c>
      <c r="F303">
        <f>IFERROR(IF(_xlfn.XLOOKUP(C303, ①オッズ入力!$A$2:$A$19, ①オッズ入力!$D$2:$D$19, "")="", 0, _xlfn.XLOOKUP(C303, ①オッズ入力!$A$2:$A$19, ①オッズ入力!$D$2:$D$19, 0)), 0)</f>
        <v>1.1525814968721322E-2</v>
      </c>
      <c r="G303">
        <f t="shared" si="8"/>
        <v>17126.247787541048</v>
      </c>
      <c r="H303">
        <f>IF(G303="", 0, IF(OR(A303=③資金配分!$D$1, A303=③資金配分!$D$2, B303=③資金配分!$D$1, B303=③資金配分!$D$2, C303=③資金配分!$D$1, C303=③資金配分!$D$2), 0, IF(OR(A303=③資金配分!$D$4, A303=③資金配分!$D$5, A303=③資金配分!$D$6, B303=③資金配分!$D$4, B303=③資金配分!$D$5, B303=③資金配分!$D$6, C303=③資金配分!$D$4, C303=③資金配分!$D$5, C303=③資金配分!$D$6), 0, IF(AND(③資金配分!$B$8&gt;0, G303&lt;=③資金配分!$B$8), 1, 0))))</f>
        <v>0</v>
      </c>
      <c r="I303">
        <f t="shared" si="9"/>
        <v>0</v>
      </c>
      <c r="J303">
        <f>IF(I303&gt;0, ROUND((I303 / SUM($I$2:$I$817)) * ③資金配分!$B$7, -2), 0)</f>
        <v>0</v>
      </c>
    </row>
    <row r="304" spans="1:10" x14ac:dyDescent="0.4">
      <c r="A304">
        <v>3</v>
      </c>
      <c r="B304">
        <v>7</v>
      </c>
      <c r="C304">
        <v>15</v>
      </c>
      <c r="D304">
        <f>IFERROR(IF(_xlfn.XLOOKUP(A304, ①オッズ入力!$A$2:$A$19, ①オッズ入力!$D$2:$D$19, "")="", 0, _xlfn.XLOOKUP(A304, ①オッズ入力!$A$2:$A$19, ①オッズ入力!$D$2:$D$19, 0)), 0)</f>
        <v>0.17014298287160048</v>
      </c>
      <c r="E304">
        <f>IFERROR(IF(_xlfn.XLOOKUP(B304, ①オッズ入力!$A$2:$A$19, ①オッズ入力!$D$2:$D$19, "")="", 0, _xlfn.XLOOKUP(B304, ①オッズ入力!$A$2:$A$19, ①オッズ入力!$D$2:$D$19, 0)), 0)</f>
        <v>2.9775022002530085E-2</v>
      </c>
      <c r="F304">
        <f>IFERROR(IF(_xlfn.XLOOKUP(C304, ①オッズ入力!$A$2:$A$19, ①オッズ入力!$D$2:$D$19, "")="", 0, _xlfn.XLOOKUP(C304, ①オッズ入力!$A$2:$A$19, ①オッズ入力!$D$2:$D$19, 0)), 0)</f>
        <v>1.0697612695519792E-2</v>
      </c>
      <c r="G304">
        <f t="shared" si="8"/>
        <v>18452.150842060353</v>
      </c>
      <c r="H304">
        <f>IF(G304="", 0, IF(OR(A304=③資金配分!$D$1, A304=③資金配分!$D$2, B304=③資金配分!$D$1, B304=③資金配分!$D$2, C304=③資金配分!$D$1, C304=③資金配分!$D$2), 0, IF(OR(A304=③資金配分!$D$4, A304=③資金配分!$D$5, A304=③資金配分!$D$6, B304=③資金配分!$D$4, B304=③資金配分!$D$5, B304=③資金配分!$D$6, C304=③資金配分!$D$4, C304=③資金配分!$D$5, C304=③資金配分!$D$6), 0, IF(AND(③資金配分!$B$8&gt;0, G304&lt;=③資金配分!$B$8), 1, 0))))</f>
        <v>0</v>
      </c>
      <c r="I304">
        <f t="shared" si="9"/>
        <v>0</v>
      </c>
      <c r="J304">
        <f>IF(I304&gt;0, ROUND((I304 / SUM($I$2:$I$817)) * ③資金配分!$B$7, -2), 0)</f>
        <v>0</v>
      </c>
    </row>
    <row r="305" spans="1:10" x14ac:dyDescent="0.4">
      <c r="A305">
        <v>3</v>
      </c>
      <c r="B305">
        <v>7</v>
      </c>
      <c r="C305">
        <v>16</v>
      </c>
      <c r="D305">
        <f>IFERROR(IF(_xlfn.XLOOKUP(A305, ①オッズ入力!$A$2:$A$19, ①オッズ入力!$D$2:$D$19, "")="", 0, _xlfn.XLOOKUP(A305, ①オッズ入力!$A$2:$A$19, ①オッズ入力!$D$2:$D$19, 0)), 0)</f>
        <v>0.17014298287160048</v>
      </c>
      <c r="E305">
        <f>IFERROR(IF(_xlfn.XLOOKUP(B305, ①オッズ入力!$A$2:$A$19, ①オッズ入力!$D$2:$D$19, "")="", 0, _xlfn.XLOOKUP(B305, ①オッズ入力!$A$2:$A$19, ①オッズ入力!$D$2:$D$19, 0)), 0)</f>
        <v>2.9775022002530085E-2</v>
      </c>
      <c r="F305">
        <f>IFERROR(IF(_xlfn.XLOOKUP(C305, ①オッズ入力!$A$2:$A$19, ①オッズ入力!$D$2:$D$19, "")="", 0, _xlfn.XLOOKUP(C305, ①オッズ入力!$A$2:$A$19, ①オッズ入力!$D$2:$D$19, 0)), 0)</f>
        <v>9.8701730395127345E-3</v>
      </c>
      <c r="G305">
        <f t="shared" si="8"/>
        <v>19999.037738999545</v>
      </c>
      <c r="H305">
        <f>IF(G305="", 0, IF(OR(A305=③資金配分!$D$1, A305=③資金配分!$D$2, B305=③資金配分!$D$1, B305=③資金配分!$D$2, C305=③資金配分!$D$1, C305=③資金配分!$D$2), 0, IF(OR(A305=③資金配分!$D$4, A305=③資金配分!$D$5, A305=③資金配分!$D$6, B305=③資金配分!$D$4, B305=③資金配分!$D$5, B305=③資金配分!$D$6, C305=③資金配分!$D$4, C305=③資金配分!$D$5, C305=③資金配分!$D$6), 0, IF(AND(③資金配分!$B$8&gt;0, G305&lt;=③資金配分!$B$8), 1, 0))))</f>
        <v>0</v>
      </c>
      <c r="I305">
        <f t="shared" si="9"/>
        <v>0</v>
      </c>
      <c r="J305">
        <f>IF(I305&gt;0, ROUND((I305 / SUM($I$2:$I$817)) * ③資金配分!$B$7, -2), 0)</f>
        <v>0</v>
      </c>
    </row>
    <row r="306" spans="1:10" x14ac:dyDescent="0.4">
      <c r="A306">
        <v>3</v>
      </c>
      <c r="B306">
        <v>7</v>
      </c>
      <c r="C306">
        <v>17</v>
      </c>
      <c r="D306">
        <f>IFERROR(IF(_xlfn.XLOOKUP(A306, ①オッズ入力!$A$2:$A$19, ①オッズ入力!$D$2:$D$19, "")="", 0, _xlfn.XLOOKUP(A306, ①オッズ入力!$A$2:$A$19, ①オッズ入力!$D$2:$D$19, 0)), 0)</f>
        <v>0.17014298287160048</v>
      </c>
      <c r="E306">
        <f>IFERROR(IF(_xlfn.XLOOKUP(B306, ①オッズ入力!$A$2:$A$19, ①オッズ入力!$D$2:$D$19, "")="", 0, _xlfn.XLOOKUP(B306, ①オッズ入力!$A$2:$A$19, ①オッズ入力!$D$2:$D$19, 0)), 0)</f>
        <v>2.9775022002530085E-2</v>
      </c>
      <c r="F306">
        <f>IFERROR(IF(_xlfn.XLOOKUP(C306, ①オッズ入力!$A$2:$A$19, ①オッズ入力!$D$2:$D$19, "")="", 0, _xlfn.XLOOKUP(C306, ①オッズ入力!$A$2:$A$19, ①オッズ入力!$D$2:$D$19, 0)), 0)</f>
        <v>9.1615452315477186E-3</v>
      </c>
      <c r="G306">
        <f t="shared" si="8"/>
        <v>21545.924635938736</v>
      </c>
      <c r="H306">
        <f>IF(G306="", 0, IF(OR(A306=③資金配分!$D$1, A306=③資金配分!$D$2, B306=③資金配分!$D$1, B306=③資金配分!$D$2, C306=③資金配分!$D$1, C306=③資金配分!$D$2), 0, IF(OR(A306=③資金配分!$D$4, A306=③資金配分!$D$5, A306=③資金配分!$D$6, B306=③資金配分!$D$4, B306=③資金配分!$D$5, B306=③資金配分!$D$6, C306=③資金配分!$D$4, C306=③資金配分!$D$5, C306=③資金配分!$D$6), 0, IF(AND(③資金配分!$B$8&gt;0, G306&lt;=③資金配分!$B$8), 1, 0))))</f>
        <v>0</v>
      </c>
      <c r="I306">
        <f t="shared" si="9"/>
        <v>0</v>
      </c>
      <c r="J306">
        <f>IF(I306&gt;0, ROUND((I306 / SUM($I$2:$I$817)) * ③資金配分!$B$7, -2), 0)</f>
        <v>0</v>
      </c>
    </row>
    <row r="307" spans="1:10" x14ac:dyDescent="0.4">
      <c r="A307">
        <v>3</v>
      </c>
      <c r="B307">
        <v>7</v>
      </c>
      <c r="C307">
        <v>18</v>
      </c>
      <c r="D307">
        <f>IFERROR(IF(_xlfn.XLOOKUP(A307, ①オッズ入力!$A$2:$A$19, ①オッズ入力!$D$2:$D$19, "")="", 0, _xlfn.XLOOKUP(A307, ①オッズ入力!$A$2:$A$19, ①オッズ入力!$D$2:$D$19, 0)), 0)</f>
        <v>0.17014298287160048</v>
      </c>
      <c r="E307">
        <f>IFERROR(IF(_xlfn.XLOOKUP(B307, ①オッズ入力!$A$2:$A$19, ①オッズ入力!$D$2:$D$19, "")="", 0, _xlfn.XLOOKUP(B307, ①オッズ入力!$A$2:$A$19, ①オッズ入力!$D$2:$D$19, 0)), 0)</f>
        <v>2.9775022002530085E-2</v>
      </c>
      <c r="F307">
        <f>IFERROR(IF(_xlfn.XLOOKUP(C307, ①オッズ入力!$A$2:$A$19, ①オッズ入力!$D$2:$D$19, "")="", 0, _xlfn.XLOOKUP(C307, ①オッズ入力!$A$2:$A$19, ①オッズ入力!$D$2:$D$19, 0)), 0)</f>
        <v>8.5478532064679671E-3</v>
      </c>
      <c r="G307">
        <f t="shared" si="8"/>
        <v>23092.811532877928</v>
      </c>
      <c r="H307">
        <f>IF(G307="", 0, IF(OR(A307=③資金配分!$D$1, A307=③資金配分!$D$2, B307=③資金配分!$D$1, B307=③資金配分!$D$2, C307=③資金配分!$D$1, C307=③資金配分!$D$2), 0, IF(OR(A307=③資金配分!$D$4, A307=③資金配分!$D$5, A307=③資金配分!$D$6, B307=③資金配分!$D$4, B307=③資金配分!$D$5, B307=③資金配分!$D$6, C307=③資金配分!$D$4, C307=③資金配分!$D$5, C307=③資金配分!$D$6), 0, IF(AND(③資金配分!$B$8&gt;0, G307&lt;=③資金配分!$B$8), 1, 0))))</f>
        <v>0</v>
      </c>
      <c r="I307">
        <f t="shared" si="9"/>
        <v>0</v>
      </c>
      <c r="J307">
        <f>IF(I307&gt;0, ROUND((I307 / SUM($I$2:$I$817)) * ③資金配分!$B$7, -2), 0)</f>
        <v>0</v>
      </c>
    </row>
    <row r="308" spans="1:10" x14ac:dyDescent="0.4">
      <c r="A308">
        <v>3</v>
      </c>
      <c r="B308">
        <v>8</v>
      </c>
      <c r="C308">
        <v>9</v>
      </c>
      <c r="D308">
        <f>IFERROR(IF(_xlfn.XLOOKUP(A308, ①オッズ入力!$A$2:$A$19, ①オッズ入力!$D$2:$D$19, "")="", 0, _xlfn.XLOOKUP(A308, ①オッズ入力!$A$2:$A$19, ①オッズ入力!$D$2:$D$19, 0)), 0)</f>
        <v>0.17014298287160048</v>
      </c>
      <c r="E308">
        <f>IFERROR(IF(_xlfn.XLOOKUP(B308, ①オッズ入力!$A$2:$A$19, ①オッズ入力!$D$2:$D$19, "")="", 0, _xlfn.XLOOKUP(B308, ①オッズ入力!$A$2:$A$19, ①オッズ入力!$D$2:$D$19, 0)), 0)</f>
        <v>2.3820017602024068E-2</v>
      </c>
      <c r="F308">
        <f>IFERROR(IF(_xlfn.XLOOKUP(C308, ①オッズ入力!$A$2:$A$19, ①オッズ入力!$D$2:$D$19, "")="", 0, _xlfn.XLOOKUP(C308, ①オッズ入力!$A$2:$A$19, ①オッズ入力!$D$2:$D$19, 0)), 0)</f>
        <v>1.9850014668353389E-2</v>
      </c>
      <c r="G308">
        <f t="shared" si="8"/>
        <v>12430.341136118503</v>
      </c>
      <c r="H308">
        <f>IF(G308="", 0, IF(OR(A308=③資金配分!$D$1, A308=③資金配分!$D$2, B308=③資金配分!$D$1, B308=③資金配分!$D$2, C308=③資金配分!$D$1, C308=③資金配分!$D$2), 0, IF(OR(A308=③資金配分!$D$4, A308=③資金配分!$D$5, A308=③資金配分!$D$6, B308=③資金配分!$D$4, B308=③資金配分!$D$5, B308=③資金配分!$D$6, C308=③資金配分!$D$4, C308=③資金配分!$D$5, C308=③資金配分!$D$6), 0, IF(AND(③資金配分!$B$8&gt;0, G308&lt;=③資金配分!$B$8), 1, 0))))</f>
        <v>0</v>
      </c>
      <c r="I308">
        <f t="shared" si="9"/>
        <v>0</v>
      </c>
      <c r="J308">
        <f>IF(I308&gt;0, ROUND((I308 / SUM($I$2:$I$817)) * ③資金配分!$B$7, -2), 0)</f>
        <v>0</v>
      </c>
    </row>
    <row r="309" spans="1:10" x14ac:dyDescent="0.4">
      <c r="A309">
        <v>3</v>
      </c>
      <c r="B309">
        <v>8</v>
      </c>
      <c r="C309">
        <v>10</v>
      </c>
      <c r="D309">
        <f>IFERROR(IF(_xlfn.XLOOKUP(A309, ①オッズ入力!$A$2:$A$19, ①オッズ入力!$D$2:$D$19, "")="", 0, _xlfn.XLOOKUP(A309, ①オッズ入力!$A$2:$A$19, ①オッズ入力!$D$2:$D$19, 0)), 0)</f>
        <v>0.17014298287160048</v>
      </c>
      <c r="E309">
        <f>IFERROR(IF(_xlfn.XLOOKUP(B309, ①オッズ入力!$A$2:$A$19, ①オッズ入力!$D$2:$D$19, "")="", 0, _xlfn.XLOOKUP(B309, ①オッズ入力!$A$2:$A$19, ①オッズ入力!$D$2:$D$19, 0)), 0)</f>
        <v>2.3820017602024068E-2</v>
      </c>
      <c r="F309">
        <f>IFERROR(IF(_xlfn.XLOOKUP(C309, ①オッズ入力!$A$2:$A$19, ①オッズ入力!$D$2:$D$19, "")="", 0, _xlfn.XLOOKUP(C309, ①オッズ入力!$A$2:$A$19, ①オッズ入力!$D$2:$D$19, 0)), 0)</f>
        <v>1.7865013201518051E-2</v>
      </c>
      <c r="G309">
        <f t="shared" si="8"/>
        <v>13811.490151242779</v>
      </c>
      <c r="H309">
        <f>IF(G309="", 0, IF(OR(A309=③資金配分!$D$1, A309=③資金配分!$D$2, B309=③資金配分!$D$1, B309=③資金配分!$D$2, C309=③資金配分!$D$1, C309=③資金配分!$D$2), 0, IF(OR(A309=③資金配分!$D$4, A309=③資金配分!$D$5, A309=③資金配分!$D$6, B309=③資金配分!$D$4, B309=③資金配分!$D$5, B309=③資金配分!$D$6, C309=③資金配分!$D$4, C309=③資金配分!$D$5, C309=③資金配分!$D$6), 0, IF(AND(③資金配分!$B$8&gt;0, G309&lt;=③資金配分!$B$8), 1, 0))))</f>
        <v>0</v>
      </c>
      <c r="I309">
        <f t="shared" si="9"/>
        <v>0</v>
      </c>
      <c r="J309">
        <f>IF(I309&gt;0, ROUND((I309 / SUM($I$2:$I$817)) * ③資金配分!$B$7, -2), 0)</f>
        <v>0</v>
      </c>
    </row>
    <row r="310" spans="1:10" x14ac:dyDescent="0.4">
      <c r="A310">
        <v>3</v>
      </c>
      <c r="B310">
        <v>8</v>
      </c>
      <c r="C310">
        <v>11</v>
      </c>
      <c r="D310">
        <f>IFERROR(IF(_xlfn.XLOOKUP(A310, ①オッズ入力!$A$2:$A$19, ①オッズ入力!$D$2:$D$19, "")="", 0, _xlfn.XLOOKUP(A310, ①オッズ入力!$A$2:$A$19, ①オッズ入力!$D$2:$D$19, 0)), 0)</f>
        <v>0.17014298287160048</v>
      </c>
      <c r="E310">
        <f>IFERROR(IF(_xlfn.XLOOKUP(B310, ①オッズ入力!$A$2:$A$19, ①オッズ入力!$D$2:$D$19, "")="", 0, _xlfn.XLOOKUP(B310, ①オッズ入力!$A$2:$A$19, ①オッズ入力!$D$2:$D$19, 0)), 0)</f>
        <v>2.3820017602024068E-2</v>
      </c>
      <c r="F310">
        <f>IFERROR(IF(_xlfn.XLOOKUP(C310, ①オッズ入力!$A$2:$A$19, ①オッズ入力!$D$2:$D$19, "")="", 0, _xlfn.XLOOKUP(C310, ①オッズ入力!$A$2:$A$19, ①オッズ入力!$D$2:$D$19, 0)), 0)</f>
        <v>1.6240921092289137E-2</v>
      </c>
      <c r="G310">
        <f t="shared" si="8"/>
        <v>15192.63916636706</v>
      </c>
      <c r="H310">
        <f>IF(G310="", 0, IF(OR(A310=③資金配分!$D$1, A310=③資金配分!$D$2, B310=③資金配分!$D$1, B310=③資金配分!$D$2, C310=③資金配分!$D$1, C310=③資金配分!$D$2), 0, IF(OR(A310=③資金配分!$D$4, A310=③資金配分!$D$5, A310=③資金配分!$D$6, B310=③資金配分!$D$4, B310=③資金配分!$D$5, B310=③資金配分!$D$6, C310=③資金配分!$D$4, C310=③資金配分!$D$5, C310=③資金配分!$D$6), 0, IF(AND(③資金配分!$B$8&gt;0, G310&lt;=③資金配分!$B$8), 1, 0))))</f>
        <v>0</v>
      </c>
      <c r="I310">
        <f t="shared" si="9"/>
        <v>0</v>
      </c>
      <c r="J310">
        <f>IF(I310&gt;0, ROUND((I310 / SUM($I$2:$I$817)) * ③資金配分!$B$7, -2), 0)</f>
        <v>0</v>
      </c>
    </row>
    <row r="311" spans="1:10" x14ac:dyDescent="0.4">
      <c r="A311">
        <v>3</v>
      </c>
      <c r="B311">
        <v>8</v>
      </c>
      <c r="C311">
        <v>12</v>
      </c>
      <c r="D311">
        <f>IFERROR(IF(_xlfn.XLOOKUP(A311, ①オッズ入力!$A$2:$A$19, ①オッズ入力!$D$2:$D$19, "")="", 0, _xlfn.XLOOKUP(A311, ①オッズ入力!$A$2:$A$19, ①オッズ入力!$D$2:$D$19, 0)), 0)</f>
        <v>0.17014298287160048</v>
      </c>
      <c r="E311">
        <f>IFERROR(IF(_xlfn.XLOOKUP(B311, ①オッズ入力!$A$2:$A$19, ①オッズ入力!$D$2:$D$19, "")="", 0, _xlfn.XLOOKUP(B311, ①オッズ入力!$A$2:$A$19, ①オッズ入力!$D$2:$D$19, 0)), 0)</f>
        <v>2.3820017602024068E-2</v>
      </c>
      <c r="F311">
        <f>IFERROR(IF(_xlfn.XLOOKUP(C311, ①オッズ入力!$A$2:$A$19, ①オッズ入力!$D$2:$D$19, "")="", 0, _xlfn.XLOOKUP(C311, ①オッズ入力!$A$2:$A$19, ①オッズ入力!$D$2:$D$19, 0)), 0)</f>
        <v>1.4887511001265043E-2</v>
      </c>
      <c r="G311">
        <f t="shared" si="8"/>
        <v>16573.788181491334</v>
      </c>
      <c r="H311">
        <f>IF(G311="", 0, IF(OR(A311=③資金配分!$D$1, A311=③資金配分!$D$2, B311=③資金配分!$D$1, B311=③資金配分!$D$2, C311=③資金配分!$D$1, C311=③資金配分!$D$2), 0, IF(OR(A311=③資金配分!$D$4, A311=③資金配分!$D$5, A311=③資金配分!$D$6, B311=③資金配分!$D$4, B311=③資金配分!$D$5, B311=③資金配分!$D$6, C311=③資金配分!$D$4, C311=③資金配分!$D$5, C311=③資金配分!$D$6), 0, IF(AND(③資金配分!$B$8&gt;0, G311&lt;=③資金配分!$B$8), 1, 0))))</f>
        <v>0</v>
      </c>
      <c r="I311">
        <f t="shared" si="9"/>
        <v>0</v>
      </c>
      <c r="J311">
        <f>IF(I311&gt;0, ROUND((I311 / SUM($I$2:$I$817)) * ③資金配分!$B$7, -2), 0)</f>
        <v>0</v>
      </c>
    </row>
    <row r="312" spans="1:10" x14ac:dyDescent="0.4">
      <c r="A312">
        <v>3</v>
      </c>
      <c r="B312">
        <v>8</v>
      </c>
      <c r="C312">
        <v>13</v>
      </c>
      <c r="D312">
        <f>IFERROR(IF(_xlfn.XLOOKUP(A312, ①オッズ入力!$A$2:$A$19, ①オッズ入力!$D$2:$D$19, "")="", 0, _xlfn.XLOOKUP(A312, ①オッズ入力!$A$2:$A$19, ①オッズ入力!$D$2:$D$19, 0)), 0)</f>
        <v>0.17014298287160048</v>
      </c>
      <c r="E312">
        <f>IFERROR(IF(_xlfn.XLOOKUP(B312, ①オッズ入力!$A$2:$A$19, ①オッズ入力!$D$2:$D$19, "")="", 0, _xlfn.XLOOKUP(B312, ①オッズ入力!$A$2:$A$19, ①オッズ入力!$D$2:$D$19, 0)), 0)</f>
        <v>2.3820017602024068E-2</v>
      </c>
      <c r="F312">
        <f>IFERROR(IF(_xlfn.XLOOKUP(C312, ①オッズ入力!$A$2:$A$19, ①オッズ入力!$D$2:$D$19, "")="", 0, _xlfn.XLOOKUP(C312, ①オッズ入力!$A$2:$A$19, ①オッズ入力!$D$2:$D$19, 0)), 0)</f>
        <v>1.2760723715370036E-2</v>
      </c>
      <c r="G312">
        <f t="shared" si="8"/>
        <v>19336.086211739894</v>
      </c>
      <c r="H312">
        <f>IF(G312="", 0, IF(OR(A312=③資金配分!$D$1, A312=③資金配分!$D$2, B312=③資金配分!$D$1, B312=③資金配分!$D$2, C312=③資金配分!$D$1, C312=③資金配分!$D$2), 0, IF(OR(A312=③資金配分!$D$4, A312=③資金配分!$D$5, A312=③資金配分!$D$6, B312=③資金配分!$D$4, B312=③資金配分!$D$5, B312=③資金配分!$D$6, C312=③資金配分!$D$4, C312=③資金配分!$D$5, C312=③資金配分!$D$6), 0, IF(AND(③資金配分!$B$8&gt;0, G312&lt;=③資金配分!$B$8), 1, 0))))</f>
        <v>0</v>
      </c>
      <c r="I312">
        <f t="shared" si="9"/>
        <v>0</v>
      </c>
      <c r="J312">
        <f>IF(I312&gt;0, ROUND((I312 / SUM($I$2:$I$817)) * ③資金配分!$B$7, -2), 0)</f>
        <v>0</v>
      </c>
    </row>
    <row r="313" spans="1:10" x14ac:dyDescent="0.4">
      <c r="A313">
        <v>3</v>
      </c>
      <c r="B313">
        <v>8</v>
      </c>
      <c r="C313">
        <v>14</v>
      </c>
      <c r="D313">
        <f>IFERROR(IF(_xlfn.XLOOKUP(A313, ①オッズ入力!$A$2:$A$19, ①オッズ入力!$D$2:$D$19, "")="", 0, _xlfn.XLOOKUP(A313, ①オッズ入力!$A$2:$A$19, ①オッズ入力!$D$2:$D$19, 0)), 0)</f>
        <v>0.17014298287160048</v>
      </c>
      <c r="E313">
        <f>IFERROR(IF(_xlfn.XLOOKUP(B313, ①オッズ入力!$A$2:$A$19, ①オッズ入力!$D$2:$D$19, "")="", 0, _xlfn.XLOOKUP(B313, ①オッズ入力!$A$2:$A$19, ①オッズ入力!$D$2:$D$19, 0)), 0)</f>
        <v>2.3820017602024068E-2</v>
      </c>
      <c r="F313">
        <f>IFERROR(IF(_xlfn.XLOOKUP(C313, ①オッズ入力!$A$2:$A$19, ①オッズ入力!$D$2:$D$19, "")="", 0, _xlfn.XLOOKUP(C313, ①オッズ入力!$A$2:$A$19, ①オッズ入力!$D$2:$D$19, 0)), 0)</f>
        <v>1.1525814968721322E-2</v>
      </c>
      <c r="G313">
        <f t="shared" si="8"/>
        <v>21407.809734426311</v>
      </c>
      <c r="H313">
        <f>IF(G313="", 0, IF(OR(A313=③資金配分!$D$1, A313=③資金配分!$D$2, B313=③資金配分!$D$1, B313=③資金配分!$D$2, C313=③資金配分!$D$1, C313=③資金配分!$D$2), 0, IF(OR(A313=③資金配分!$D$4, A313=③資金配分!$D$5, A313=③資金配分!$D$6, B313=③資金配分!$D$4, B313=③資金配分!$D$5, B313=③資金配分!$D$6, C313=③資金配分!$D$4, C313=③資金配分!$D$5, C313=③資金配分!$D$6), 0, IF(AND(③資金配分!$B$8&gt;0, G313&lt;=③資金配分!$B$8), 1, 0))))</f>
        <v>0</v>
      </c>
      <c r="I313">
        <f t="shared" si="9"/>
        <v>0</v>
      </c>
      <c r="J313">
        <f>IF(I313&gt;0, ROUND((I313 / SUM($I$2:$I$817)) * ③資金配分!$B$7, -2), 0)</f>
        <v>0</v>
      </c>
    </row>
    <row r="314" spans="1:10" x14ac:dyDescent="0.4">
      <c r="A314">
        <v>3</v>
      </c>
      <c r="B314">
        <v>8</v>
      </c>
      <c r="C314">
        <v>15</v>
      </c>
      <c r="D314">
        <f>IFERROR(IF(_xlfn.XLOOKUP(A314, ①オッズ入力!$A$2:$A$19, ①オッズ入力!$D$2:$D$19, "")="", 0, _xlfn.XLOOKUP(A314, ①オッズ入力!$A$2:$A$19, ①オッズ入力!$D$2:$D$19, 0)), 0)</f>
        <v>0.17014298287160048</v>
      </c>
      <c r="E314">
        <f>IFERROR(IF(_xlfn.XLOOKUP(B314, ①オッズ入力!$A$2:$A$19, ①オッズ入力!$D$2:$D$19, "")="", 0, _xlfn.XLOOKUP(B314, ①オッズ入力!$A$2:$A$19, ①オッズ入力!$D$2:$D$19, 0)), 0)</f>
        <v>2.3820017602024068E-2</v>
      </c>
      <c r="F314">
        <f>IFERROR(IF(_xlfn.XLOOKUP(C314, ①オッズ入力!$A$2:$A$19, ①オッズ入力!$D$2:$D$19, "")="", 0, _xlfn.XLOOKUP(C314, ①オッズ入力!$A$2:$A$19, ①オッズ入力!$D$2:$D$19, 0)), 0)</f>
        <v>1.0697612695519792E-2</v>
      </c>
      <c r="G314">
        <f t="shared" si="8"/>
        <v>23065.188552575441</v>
      </c>
      <c r="H314">
        <f>IF(G314="", 0, IF(OR(A314=③資金配分!$D$1, A314=③資金配分!$D$2, B314=③資金配分!$D$1, B314=③資金配分!$D$2, C314=③資金配分!$D$1, C314=③資金配分!$D$2), 0, IF(OR(A314=③資金配分!$D$4, A314=③資金配分!$D$5, A314=③資金配分!$D$6, B314=③資金配分!$D$4, B314=③資金配分!$D$5, B314=③資金配分!$D$6, C314=③資金配分!$D$4, C314=③資金配分!$D$5, C314=③資金配分!$D$6), 0, IF(AND(③資金配分!$B$8&gt;0, G314&lt;=③資金配分!$B$8), 1, 0))))</f>
        <v>0</v>
      </c>
      <c r="I314">
        <f t="shared" si="9"/>
        <v>0</v>
      </c>
      <c r="J314">
        <f>IF(I314&gt;0, ROUND((I314 / SUM($I$2:$I$817)) * ③資金配分!$B$7, -2), 0)</f>
        <v>0</v>
      </c>
    </row>
    <row r="315" spans="1:10" x14ac:dyDescent="0.4">
      <c r="A315">
        <v>3</v>
      </c>
      <c r="B315">
        <v>8</v>
      </c>
      <c r="C315">
        <v>16</v>
      </c>
      <c r="D315">
        <f>IFERROR(IF(_xlfn.XLOOKUP(A315, ①オッズ入力!$A$2:$A$19, ①オッズ入力!$D$2:$D$19, "")="", 0, _xlfn.XLOOKUP(A315, ①オッズ入力!$A$2:$A$19, ①オッズ入力!$D$2:$D$19, 0)), 0)</f>
        <v>0.17014298287160048</v>
      </c>
      <c r="E315">
        <f>IFERROR(IF(_xlfn.XLOOKUP(B315, ①オッズ入力!$A$2:$A$19, ①オッズ入力!$D$2:$D$19, "")="", 0, _xlfn.XLOOKUP(B315, ①オッズ入力!$A$2:$A$19, ①オッズ入力!$D$2:$D$19, 0)), 0)</f>
        <v>2.3820017602024068E-2</v>
      </c>
      <c r="F315">
        <f>IFERROR(IF(_xlfn.XLOOKUP(C315, ①オッズ入力!$A$2:$A$19, ①オッズ入力!$D$2:$D$19, "")="", 0, _xlfn.XLOOKUP(C315, ①オッズ入力!$A$2:$A$19, ①オッズ入力!$D$2:$D$19, 0)), 0)</f>
        <v>9.8701730395127345E-3</v>
      </c>
      <c r="G315">
        <f t="shared" si="8"/>
        <v>24998.797173749434</v>
      </c>
      <c r="H315">
        <f>IF(G315="", 0, IF(OR(A315=③資金配分!$D$1, A315=③資金配分!$D$2, B315=③資金配分!$D$1, B315=③資金配分!$D$2, C315=③資金配分!$D$1, C315=③資金配分!$D$2), 0, IF(OR(A315=③資金配分!$D$4, A315=③資金配分!$D$5, A315=③資金配分!$D$6, B315=③資金配分!$D$4, B315=③資金配分!$D$5, B315=③資金配分!$D$6, C315=③資金配分!$D$4, C315=③資金配分!$D$5, C315=③資金配分!$D$6), 0, IF(AND(③資金配分!$B$8&gt;0, G315&lt;=③資金配分!$B$8), 1, 0))))</f>
        <v>0</v>
      </c>
      <c r="I315">
        <f t="shared" si="9"/>
        <v>0</v>
      </c>
      <c r="J315">
        <f>IF(I315&gt;0, ROUND((I315 / SUM($I$2:$I$817)) * ③資金配分!$B$7, -2), 0)</f>
        <v>0</v>
      </c>
    </row>
    <row r="316" spans="1:10" x14ac:dyDescent="0.4">
      <c r="A316">
        <v>3</v>
      </c>
      <c r="B316">
        <v>8</v>
      </c>
      <c r="C316">
        <v>17</v>
      </c>
      <c r="D316">
        <f>IFERROR(IF(_xlfn.XLOOKUP(A316, ①オッズ入力!$A$2:$A$19, ①オッズ入力!$D$2:$D$19, "")="", 0, _xlfn.XLOOKUP(A316, ①オッズ入力!$A$2:$A$19, ①オッズ入力!$D$2:$D$19, 0)), 0)</f>
        <v>0.17014298287160048</v>
      </c>
      <c r="E316">
        <f>IFERROR(IF(_xlfn.XLOOKUP(B316, ①オッズ入力!$A$2:$A$19, ①オッズ入力!$D$2:$D$19, "")="", 0, _xlfn.XLOOKUP(B316, ①オッズ入力!$A$2:$A$19, ①オッズ入力!$D$2:$D$19, 0)), 0)</f>
        <v>2.3820017602024068E-2</v>
      </c>
      <c r="F316">
        <f>IFERROR(IF(_xlfn.XLOOKUP(C316, ①オッズ入力!$A$2:$A$19, ①オッズ入力!$D$2:$D$19, "")="", 0, _xlfn.XLOOKUP(C316, ①オッズ入力!$A$2:$A$19, ①オッズ入力!$D$2:$D$19, 0)), 0)</f>
        <v>9.1615452315477186E-3</v>
      </c>
      <c r="G316">
        <f t="shared" si="8"/>
        <v>26932.405794923423</v>
      </c>
      <c r="H316">
        <f>IF(G316="", 0, IF(OR(A316=③資金配分!$D$1, A316=③資金配分!$D$2, B316=③資金配分!$D$1, B316=③資金配分!$D$2, C316=③資金配分!$D$1, C316=③資金配分!$D$2), 0, IF(OR(A316=③資金配分!$D$4, A316=③資金配分!$D$5, A316=③資金配分!$D$6, B316=③資金配分!$D$4, B316=③資金配分!$D$5, B316=③資金配分!$D$6, C316=③資金配分!$D$4, C316=③資金配分!$D$5, C316=③資金配分!$D$6), 0, IF(AND(③資金配分!$B$8&gt;0, G316&lt;=③資金配分!$B$8), 1, 0))))</f>
        <v>0</v>
      </c>
      <c r="I316">
        <f t="shared" si="9"/>
        <v>0</v>
      </c>
      <c r="J316">
        <f>IF(I316&gt;0, ROUND((I316 / SUM($I$2:$I$817)) * ③資金配分!$B$7, -2), 0)</f>
        <v>0</v>
      </c>
    </row>
    <row r="317" spans="1:10" x14ac:dyDescent="0.4">
      <c r="A317">
        <v>3</v>
      </c>
      <c r="B317">
        <v>8</v>
      </c>
      <c r="C317">
        <v>18</v>
      </c>
      <c r="D317">
        <f>IFERROR(IF(_xlfn.XLOOKUP(A317, ①オッズ入力!$A$2:$A$19, ①オッズ入力!$D$2:$D$19, "")="", 0, _xlfn.XLOOKUP(A317, ①オッズ入力!$A$2:$A$19, ①オッズ入力!$D$2:$D$19, 0)), 0)</f>
        <v>0.17014298287160048</v>
      </c>
      <c r="E317">
        <f>IFERROR(IF(_xlfn.XLOOKUP(B317, ①オッズ入力!$A$2:$A$19, ①オッズ入力!$D$2:$D$19, "")="", 0, _xlfn.XLOOKUP(B317, ①オッズ入力!$A$2:$A$19, ①オッズ入力!$D$2:$D$19, 0)), 0)</f>
        <v>2.3820017602024068E-2</v>
      </c>
      <c r="F317">
        <f>IFERROR(IF(_xlfn.XLOOKUP(C317, ①オッズ入力!$A$2:$A$19, ①オッズ入力!$D$2:$D$19, "")="", 0, _xlfn.XLOOKUP(C317, ①オッズ入力!$A$2:$A$19, ①オッズ入力!$D$2:$D$19, 0)), 0)</f>
        <v>8.5478532064679671E-3</v>
      </c>
      <c r="G317">
        <f t="shared" si="8"/>
        <v>28866.014416097412</v>
      </c>
      <c r="H317">
        <f>IF(G317="", 0, IF(OR(A317=③資金配分!$D$1, A317=③資金配分!$D$2, B317=③資金配分!$D$1, B317=③資金配分!$D$2, C317=③資金配分!$D$1, C317=③資金配分!$D$2), 0, IF(OR(A317=③資金配分!$D$4, A317=③資金配分!$D$5, A317=③資金配分!$D$6, B317=③資金配分!$D$4, B317=③資金配分!$D$5, B317=③資金配分!$D$6, C317=③資金配分!$D$4, C317=③資金配分!$D$5, C317=③資金配分!$D$6), 0, IF(AND(③資金配分!$B$8&gt;0, G317&lt;=③資金配分!$B$8), 1, 0))))</f>
        <v>0</v>
      </c>
      <c r="I317">
        <f t="shared" si="9"/>
        <v>0</v>
      </c>
      <c r="J317">
        <f>IF(I317&gt;0, ROUND((I317 / SUM($I$2:$I$817)) * ③資金配分!$B$7, -2), 0)</f>
        <v>0</v>
      </c>
    </row>
    <row r="318" spans="1:10" x14ac:dyDescent="0.4">
      <c r="A318">
        <v>3</v>
      </c>
      <c r="B318">
        <v>9</v>
      </c>
      <c r="C318">
        <v>10</v>
      </c>
      <c r="D318">
        <f>IFERROR(IF(_xlfn.XLOOKUP(A318, ①オッズ入力!$A$2:$A$19, ①オッズ入力!$D$2:$D$19, "")="", 0, _xlfn.XLOOKUP(A318, ①オッズ入力!$A$2:$A$19, ①オッズ入力!$D$2:$D$19, 0)), 0)</f>
        <v>0.17014298287160048</v>
      </c>
      <c r="E318">
        <f>IFERROR(IF(_xlfn.XLOOKUP(B318, ①オッズ入力!$A$2:$A$19, ①オッズ入力!$D$2:$D$19, "")="", 0, _xlfn.XLOOKUP(B318, ①オッズ入力!$A$2:$A$19, ①オッズ入力!$D$2:$D$19, 0)), 0)</f>
        <v>1.9850014668353389E-2</v>
      </c>
      <c r="F318">
        <f>IFERROR(IF(_xlfn.XLOOKUP(C318, ①オッズ入力!$A$2:$A$19, ①オッズ入力!$D$2:$D$19, "")="", 0, _xlfn.XLOOKUP(C318, ①オッズ入力!$A$2:$A$19, ①オッズ入力!$D$2:$D$19, 0)), 0)</f>
        <v>1.7865013201518051E-2</v>
      </c>
      <c r="G318">
        <f t="shared" si="8"/>
        <v>16573.788181491334</v>
      </c>
      <c r="H318">
        <f>IF(G318="", 0, IF(OR(A318=③資金配分!$D$1, A318=③資金配分!$D$2, B318=③資金配分!$D$1, B318=③資金配分!$D$2, C318=③資金配分!$D$1, C318=③資金配分!$D$2), 0, IF(OR(A318=③資金配分!$D$4, A318=③資金配分!$D$5, A318=③資金配分!$D$6, B318=③資金配分!$D$4, B318=③資金配分!$D$5, B318=③資金配分!$D$6, C318=③資金配分!$D$4, C318=③資金配分!$D$5, C318=③資金配分!$D$6), 0, IF(AND(③資金配分!$B$8&gt;0, G318&lt;=③資金配分!$B$8), 1, 0))))</f>
        <v>0</v>
      </c>
      <c r="I318">
        <f t="shared" si="9"/>
        <v>0</v>
      </c>
      <c r="J318">
        <f>IF(I318&gt;0, ROUND((I318 / SUM($I$2:$I$817)) * ③資金配分!$B$7, -2), 0)</f>
        <v>0</v>
      </c>
    </row>
    <row r="319" spans="1:10" x14ac:dyDescent="0.4">
      <c r="A319">
        <v>3</v>
      </c>
      <c r="B319">
        <v>9</v>
      </c>
      <c r="C319">
        <v>11</v>
      </c>
      <c r="D319">
        <f>IFERROR(IF(_xlfn.XLOOKUP(A319, ①オッズ入力!$A$2:$A$19, ①オッズ入力!$D$2:$D$19, "")="", 0, _xlfn.XLOOKUP(A319, ①オッズ入力!$A$2:$A$19, ①オッズ入力!$D$2:$D$19, 0)), 0)</f>
        <v>0.17014298287160048</v>
      </c>
      <c r="E319">
        <f>IFERROR(IF(_xlfn.XLOOKUP(B319, ①オッズ入力!$A$2:$A$19, ①オッズ入力!$D$2:$D$19, "")="", 0, _xlfn.XLOOKUP(B319, ①オッズ入力!$A$2:$A$19, ①オッズ入力!$D$2:$D$19, 0)), 0)</f>
        <v>1.9850014668353389E-2</v>
      </c>
      <c r="F319">
        <f>IFERROR(IF(_xlfn.XLOOKUP(C319, ①オッズ入力!$A$2:$A$19, ①オッズ入力!$D$2:$D$19, "")="", 0, _xlfn.XLOOKUP(C319, ①オッズ入力!$A$2:$A$19, ①オッズ入力!$D$2:$D$19, 0)), 0)</f>
        <v>1.6240921092289137E-2</v>
      </c>
      <c r="G319">
        <f t="shared" si="8"/>
        <v>18231.166999640471</v>
      </c>
      <c r="H319">
        <f>IF(G319="", 0, IF(OR(A319=③資金配分!$D$1, A319=③資金配分!$D$2, B319=③資金配分!$D$1, B319=③資金配分!$D$2, C319=③資金配分!$D$1, C319=③資金配分!$D$2), 0, IF(OR(A319=③資金配分!$D$4, A319=③資金配分!$D$5, A319=③資金配分!$D$6, B319=③資金配分!$D$4, B319=③資金配分!$D$5, B319=③資金配分!$D$6, C319=③資金配分!$D$4, C319=③資金配分!$D$5, C319=③資金配分!$D$6), 0, IF(AND(③資金配分!$B$8&gt;0, G319&lt;=③資金配分!$B$8), 1, 0))))</f>
        <v>0</v>
      </c>
      <c r="I319">
        <f t="shared" si="9"/>
        <v>0</v>
      </c>
      <c r="J319">
        <f>IF(I319&gt;0, ROUND((I319 / SUM($I$2:$I$817)) * ③資金配分!$B$7, -2), 0)</f>
        <v>0</v>
      </c>
    </row>
    <row r="320" spans="1:10" x14ac:dyDescent="0.4">
      <c r="A320">
        <v>3</v>
      </c>
      <c r="B320">
        <v>9</v>
      </c>
      <c r="C320">
        <v>12</v>
      </c>
      <c r="D320">
        <f>IFERROR(IF(_xlfn.XLOOKUP(A320, ①オッズ入力!$A$2:$A$19, ①オッズ入力!$D$2:$D$19, "")="", 0, _xlfn.XLOOKUP(A320, ①オッズ入力!$A$2:$A$19, ①オッズ入力!$D$2:$D$19, 0)), 0)</f>
        <v>0.17014298287160048</v>
      </c>
      <c r="E320">
        <f>IFERROR(IF(_xlfn.XLOOKUP(B320, ①オッズ入力!$A$2:$A$19, ①オッズ入力!$D$2:$D$19, "")="", 0, _xlfn.XLOOKUP(B320, ①オッズ入力!$A$2:$A$19, ①オッズ入力!$D$2:$D$19, 0)), 0)</f>
        <v>1.9850014668353389E-2</v>
      </c>
      <c r="F320">
        <f>IFERROR(IF(_xlfn.XLOOKUP(C320, ①オッズ入力!$A$2:$A$19, ①オッズ入力!$D$2:$D$19, "")="", 0, _xlfn.XLOOKUP(C320, ①オッズ入力!$A$2:$A$19, ①オッズ入力!$D$2:$D$19, 0)), 0)</f>
        <v>1.4887511001265043E-2</v>
      </c>
      <c r="G320">
        <f t="shared" si="8"/>
        <v>19888.545817789603</v>
      </c>
      <c r="H320">
        <f>IF(G320="", 0, IF(OR(A320=③資金配分!$D$1, A320=③資金配分!$D$2, B320=③資金配分!$D$1, B320=③資金配分!$D$2, C320=③資金配分!$D$1, C320=③資金配分!$D$2), 0, IF(OR(A320=③資金配分!$D$4, A320=③資金配分!$D$5, A320=③資金配分!$D$6, B320=③資金配分!$D$4, B320=③資金配分!$D$5, B320=③資金配分!$D$6, C320=③資金配分!$D$4, C320=③資金配分!$D$5, C320=③資金配分!$D$6), 0, IF(AND(③資金配分!$B$8&gt;0, G320&lt;=③資金配分!$B$8), 1, 0))))</f>
        <v>0</v>
      </c>
      <c r="I320">
        <f t="shared" si="9"/>
        <v>0</v>
      </c>
      <c r="J320">
        <f>IF(I320&gt;0, ROUND((I320 / SUM($I$2:$I$817)) * ③資金配分!$B$7, -2), 0)</f>
        <v>0</v>
      </c>
    </row>
    <row r="321" spans="1:10" x14ac:dyDescent="0.4">
      <c r="A321">
        <v>3</v>
      </c>
      <c r="B321">
        <v>9</v>
      </c>
      <c r="C321">
        <v>13</v>
      </c>
      <c r="D321">
        <f>IFERROR(IF(_xlfn.XLOOKUP(A321, ①オッズ入力!$A$2:$A$19, ①オッズ入力!$D$2:$D$19, "")="", 0, _xlfn.XLOOKUP(A321, ①オッズ入力!$A$2:$A$19, ①オッズ入力!$D$2:$D$19, 0)), 0)</f>
        <v>0.17014298287160048</v>
      </c>
      <c r="E321">
        <f>IFERROR(IF(_xlfn.XLOOKUP(B321, ①オッズ入力!$A$2:$A$19, ①オッズ入力!$D$2:$D$19, "")="", 0, _xlfn.XLOOKUP(B321, ①オッズ入力!$A$2:$A$19, ①オッズ入力!$D$2:$D$19, 0)), 0)</f>
        <v>1.9850014668353389E-2</v>
      </c>
      <c r="F321">
        <f>IFERROR(IF(_xlfn.XLOOKUP(C321, ①オッズ入力!$A$2:$A$19, ①オッズ入力!$D$2:$D$19, "")="", 0, _xlfn.XLOOKUP(C321, ①オッズ入力!$A$2:$A$19, ①オッズ入力!$D$2:$D$19, 0)), 0)</f>
        <v>1.2760723715370036E-2</v>
      </c>
      <c r="G321">
        <f t="shared" si="8"/>
        <v>23203.303454087869</v>
      </c>
      <c r="H321">
        <f>IF(G321="", 0, IF(OR(A321=③資金配分!$D$1, A321=③資金配分!$D$2, B321=③資金配分!$D$1, B321=③資金配分!$D$2, C321=③資金配分!$D$1, C321=③資金配分!$D$2), 0, IF(OR(A321=③資金配分!$D$4, A321=③資金配分!$D$5, A321=③資金配分!$D$6, B321=③資金配分!$D$4, B321=③資金配分!$D$5, B321=③資金配分!$D$6, C321=③資金配分!$D$4, C321=③資金配分!$D$5, C321=③資金配分!$D$6), 0, IF(AND(③資金配分!$B$8&gt;0, G321&lt;=③資金配分!$B$8), 1, 0))))</f>
        <v>0</v>
      </c>
      <c r="I321">
        <f t="shared" si="9"/>
        <v>0</v>
      </c>
      <c r="J321">
        <f>IF(I321&gt;0, ROUND((I321 / SUM($I$2:$I$817)) * ③資金配分!$B$7, -2), 0)</f>
        <v>0</v>
      </c>
    </row>
    <row r="322" spans="1:10" x14ac:dyDescent="0.4">
      <c r="A322">
        <v>3</v>
      </c>
      <c r="B322">
        <v>9</v>
      </c>
      <c r="C322">
        <v>14</v>
      </c>
      <c r="D322">
        <f>IFERROR(IF(_xlfn.XLOOKUP(A322, ①オッズ入力!$A$2:$A$19, ①オッズ入力!$D$2:$D$19, "")="", 0, _xlfn.XLOOKUP(A322, ①オッズ入力!$A$2:$A$19, ①オッズ入力!$D$2:$D$19, 0)), 0)</f>
        <v>0.17014298287160048</v>
      </c>
      <c r="E322">
        <f>IFERROR(IF(_xlfn.XLOOKUP(B322, ①オッズ入力!$A$2:$A$19, ①オッズ入力!$D$2:$D$19, "")="", 0, _xlfn.XLOOKUP(B322, ①オッズ入力!$A$2:$A$19, ①オッズ入力!$D$2:$D$19, 0)), 0)</f>
        <v>1.9850014668353389E-2</v>
      </c>
      <c r="F322">
        <f>IFERROR(IF(_xlfn.XLOOKUP(C322, ①オッズ入力!$A$2:$A$19, ①オッズ入力!$D$2:$D$19, "")="", 0, _xlfn.XLOOKUP(C322, ①オッズ入力!$A$2:$A$19, ①オッズ入力!$D$2:$D$19, 0)), 0)</f>
        <v>1.1525814968721322E-2</v>
      </c>
      <c r="G322">
        <f t="shared" si="8"/>
        <v>25689.371681311572</v>
      </c>
      <c r="H322">
        <f>IF(G322="", 0, IF(OR(A322=③資金配分!$D$1, A322=③資金配分!$D$2, B322=③資金配分!$D$1, B322=③資金配分!$D$2, C322=③資金配分!$D$1, C322=③資金配分!$D$2), 0, IF(OR(A322=③資金配分!$D$4, A322=③資金配分!$D$5, A322=③資金配分!$D$6, B322=③資金配分!$D$4, B322=③資金配分!$D$5, B322=③資金配分!$D$6, C322=③資金配分!$D$4, C322=③資金配分!$D$5, C322=③資金配分!$D$6), 0, IF(AND(③資金配分!$B$8&gt;0, G322&lt;=③資金配分!$B$8), 1, 0))))</f>
        <v>0</v>
      </c>
      <c r="I322">
        <f t="shared" si="9"/>
        <v>0</v>
      </c>
      <c r="J322">
        <f>IF(I322&gt;0, ROUND((I322 / SUM($I$2:$I$817)) * ③資金配分!$B$7, -2), 0)</f>
        <v>0</v>
      </c>
    </row>
    <row r="323" spans="1:10" x14ac:dyDescent="0.4">
      <c r="A323">
        <v>3</v>
      </c>
      <c r="B323">
        <v>9</v>
      </c>
      <c r="C323">
        <v>15</v>
      </c>
      <c r="D323">
        <f>IFERROR(IF(_xlfn.XLOOKUP(A323, ①オッズ入力!$A$2:$A$19, ①オッズ入力!$D$2:$D$19, "")="", 0, _xlfn.XLOOKUP(A323, ①オッズ入力!$A$2:$A$19, ①オッズ入力!$D$2:$D$19, 0)), 0)</f>
        <v>0.17014298287160048</v>
      </c>
      <c r="E323">
        <f>IFERROR(IF(_xlfn.XLOOKUP(B323, ①オッズ入力!$A$2:$A$19, ①オッズ入力!$D$2:$D$19, "")="", 0, _xlfn.XLOOKUP(B323, ①オッズ入力!$A$2:$A$19, ①オッズ入力!$D$2:$D$19, 0)), 0)</f>
        <v>1.9850014668353389E-2</v>
      </c>
      <c r="F323">
        <f>IFERROR(IF(_xlfn.XLOOKUP(C323, ①オッズ入力!$A$2:$A$19, ①オッズ入力!$D$2:$D$19, "")="", 0, _xlfn.XLOOKUP(C323, ①オッズ入力!$A$2:$A$19, ①オッズ入力!$D$2:$D$19, 0)), 0)</f>
        <v>1.0697612695519792E-2</v>
      </c>
      <c r="G323">
        <f t="shared" ref="G323:G386" si="10">IF(OR(D323=0, E323=0, F323=0), "", 1/(D323*E323*F323))</f>
        <v>27678.226263090532</v>
      </c>
      <c r="H323">
        <f>IF(G323="", 0, IF(OR(A323=③資金配分!$D$1, A323=③資金配分!$D$2, B323=③資金配分!$D$1, B323=③資金配分!$D$2, C323=③資金配分!$D$1, C323=③資金配分!$D$2), 0, IF(OR(A323=③資金配分!$D$4, A323=③資金配分!$D$5, A323=③資金配分!$D$6, B323=③資金配分!$D$4, B323=③資金配分!$D$5, B323=③資金配分!$D$6, C323=③資金配分!$D$4, C323=③資金配分!$D$5, C323=③資金配分!$D$6), 0, IF(AND(③資金配分!$B$8&gt;0, G323&lt;=③資金配分!$B$8), 1, 0))))</f>
        <v>0</v>
      </c>
      <c r="I323">
        <f t="shared" ref="I323:I386" si="11">IF(H323=1, 1/G323, 0)</f>
        <v>0</v>
      </c>
      <c r="J323">
        <f>IF(I323&gt;0, ROUND((I323 / SUM($I$2:$I$817)) * ③資金配分!$B$7, -2), 0)</f>
        <v>0</v>
      </c>
    </row>
    <row r="324" spans="1:10" x14ac:dyDescent="0.4">
      <c r="A324">
        <v>3</v>
      </c>
      <c r="B324">
        <v>9</v>
      </c>
      <c r="C324">
        <v>16</v>
      </c>
      <c r="D324">
        <f>IFERROR(IF(_xlfn.XLOOKUP(A324, ①オッズ入力!$A$2:$A$19, ①オッズ入力!$D$2:$D$19, "")="", 0, _xlfn.XLOOKUP(A324, ①オッズ入力!$A$2:$A$19, ①オッズ入力!$D$2:$D$19, 0)), 0)</f>
        <v>0.17014298287160048</v>
      </c>
      <c r="E324">
        <f>IFERROR(IF(_xlfn.XLOOKUP(B324, ①オッズ入力!$A$2:$A$19, ①オッズ入力!$D$2:$D$19, "")="", 0, _xlfn.XLOOKUP(B324, ①オッズ入力!$A$2:$A$19, ①オッズ入力!$D$2:$D$19, 0)), 0)</f>
        <v>1.9850014668353389E-2</v>
      </c>
      <c r="F324">
        <f>IFERROR(IF(_xlfn.XLOOKUP(C324, ①オッズ入力!$A$2:$A$19, ①オッズ入力!$D$2:$D$19, "")="", 0, _xlfn.XLOOKUP(C324, ①オッズ入力!$A$2:$A$19, ①オッズ入力!$D$2:$D$19, 0)), 0)</f>
        <v>9.8701730395127345E-3</v>
      </c>
      <c r="G324">
        <f t="shared" si="10"/>
        <v>29998.556608499322</v>
      </c>
      <c r="H324">
        <f>IF(G324="", 0, IF(OR(A324=③資金配分!$D$1, A324=③資金配分!$D$2, B324=③資金配分!$D$1, B324=③資金配分!$D$2, C324=③資金配分!$D$1, C324=③資金配分!$D$2), 0, IF(OR(A324=③資金配分!$D$4, A324=③資金配分!$D$5, A324=③資金配分!$D$6, B324=③資金配分!$D$4, B324=③資金配分!$D$5, B324=③資金配分!$D$6, C324=③資金配分!$D$4, C324=③資金配分!$D$5, C324=③資金配分!$D$6), 0, IF(AND(③資金配分!$B$8&gt;0, G324&lt;=③資金配分!$B$8), 1, 0))))</f>
        <v>0</v>
      </c>
      <c r="I324">
        <f t="shared" si="11"/>
        <v>0</v>
      </c>
      <c r="J324">
        <f>IF(I324&gt;0, ROUND((I324 / SUM($I$2:$I$817)) * ③資金配分!$B$7, -2), 0)</f>
        <v>0</v>
      </c>
    </row>
    <row r="325" spans="1:10" x14ac:dyDescent="0.4">
      <c r="A325">
        <v>3</v>
      </c>
      <c r="B325">
        <v>9</v>
      </c>
      <c r="C325">
        <v>17</v>
      </c>
      <c r="D325">
        <f>IFERROR(IF(_xlfn.XLOOKUP(A325, ①オッズ入力!$A$2:$A$19, ①オッズ入力!$D$2:$D$19, "")="", 0, _xlfn.XLOOKUP(A325, ①オッズ入力!$A$2:$A$19, ①オッズ入力!$D$2:$D$19, 0)), 0)</f>
        <v>0.17014298287160048</v>
      </c>
      <c r="E325">
        <f>IFERROR(IF(_xlfn.XLOOKUP(B325, ①オッズ入力!$A$2:$A$19, ①オッズ入力!$D$2:$D$19, "")="", 0, _xlfn.XLOOKUP(B325, ①オッズ入力!$A$2:$A$19, ①オッズ入力!$D$2:$D$19, 0)), 0)</f>
        <v>1.9850014668353389E-2</v>
      </c>
      <c r="F325">
        <f>IFERROR(IF(_xlfn.XLOOKUP(C325, ①オッズ入力!$A$2:$A$19, ①オッズ入力!$D$2:$D$19, "")="", 0, _xlfn.XLOOKUP(C325, ①オッズ入力!$A$2:$A$19, ①オッズ入力!$D$2:$D$19, 0)), 0)</f>
        <v>9.1615452315477186E-3</v>
      </c>
      <c r="G325">
        <f t="shared" si="10"/>
        <v>32318.886953908099</v>
      </c>
      <c r="H325">
        <f>IF(G325="", 0, IF(OR(A325=③資金配分!$D$1, A325=③資金配分!$D$2, B325=③資金配分!$D$1, B325=③資金配分!$D$2, C325=③資金配分!$D$1, C325=③資金配分!$D$2), 0, IF(OR(A325=③資金配分!$D$4, A325=③資金配分!$D$5, A325=③資金配分!$D$6, B325=③資金配分!$D$4, B325=③資金配分!$D$5, B325=③資金配分!$D$6, C325=③資金配分!$D$4, C325=③資金配分!$D$5, C325=③資金配分!$D$6), 0, IF(AND(③資金配分!$B$8&gt;0, G325&lt;=③資金配分!$B$8), 1, 0))))</f>
        <v>0</v>
      </c>
      <c r="I325">
        <f t="shared" si="11"/>
        <v>0</v>
      </c>
      <c r="J325">
        <f>IF(I325&gt;0, ROUND((I325 / SUM($I$2:$I$817)) * ③資金配分!$B$7, -2), 0)</f>
        <v>0</v>
      </c>
    </row>
    <row r="326" spans="1:10" x14ac:dyDescent="0.4">
      <c r="A326">
        <v>3</v>
      </c>
      <c r="B326">
        <v>9</v>
      </c>
      <c r="C326">
        <v>18</v>
      </c>
      <c r="D326">
        <f>IFERROR(IF(_xlfn.XLOOKUP(A326, ①オッズ入力!$A$2:$A$19, ①オッズ入力!$D$2:$D$19, "")="", 0, _xlfn.XLOOKUP(A326, ①オッズ入力!$A$2:$A$19, ①オッズ入力!$D$2:$D$19, 0)), 0)</f>
        <v>0.17014298287160048</v>
      </c>
      <c r="E326">
        <f>IFERROR(IF(_xlfn.XLOOKUP(B326, ①オッズ入力!$A$2:$A$19, ①オッズ入力!$D$2:$D$19, "")="", 0, _xlfn.XLOOKUP(B326, ①オッズ入力!$A$2:$A$19, ①オッズ入力!$D$2:$D$19, 0)), 0)</f>
        <v>1.9850014668353389E-2</v>
      </c>
      <c r="F326">
        <f>IFERROR(IF(_xlfn.XLOOKUP(C326, ①オッズ入力!$A$2:$A$19, ①オッズ入力!$D$2:$D$19, "")="", 0, _xlfn.XLOOKUP(C326, ①オッズ入力!$A$2:$A$19, ①オッズ入力!$D$2:$D$19, 0)), 0)</f>
        <v>8.5478532064679671E-3</v>
      </c>
      <c r="G326">
        <f t="shared" si="10"/>
        <v>34639.217299316886</v>
      </c>
      <c r="H326">
        <f>IF(G326="", 0, IF(OR(A326=③資金配分!$D$1, A326=③資金配分!$D$2, B326=③資金配分!$D$1, B326=③資金配分!$D$2, C326=③資金配分!$D$1, C326=③資金配分!$D$2), 0, IF(OR(A326=③資金配分!$D$4, A326=③資金配分!$D$5, A326=③資金配分!$D$6, B326=③資金配分!$D$4, B326=③資金配分!$D$5, B326=③資金配分!$D$6, C326=③資金配分!$D$4, C326=③資金配分!$D$5, C326=③資金配分!$D$6), 0, IF(AND(③資金配分!$B$8&gt;0, G326&lt;=③資金配分!$B$8), 1, 0))))</f>
        <v>0</v>
      </c>
      <c r="I326">
        <f t="shared" si="11"/>
        <v>0</v>
      </c>
      <c r="J326">
        <f>IF(I326&gt;0, ROUND((I326 / SUM($I$2:$I$817)) * ③資金配分!$B$7, -2), 0)</f>
        <v>0</v>
      </c>
    </row>
    <row r="327" spans="1:10" x14ac:dyDescent="0.4">
      <c r="A327">
        <v>3</v>
      </c>
      <c r="B327">
        <v>10</v>
      </c>
      <c r="C327">
        <v>11</v>
      </c>
      <c r="D327">
        <f>IFERROR(IF(_xlfn.XLOOKUP(A327, ①オッズ入力!$A$2:$A$19, ①オッズ入力!$D$2:$D$19, "")="", 0, _xlfn.XLOOKUP(A327, ①オッズ入力!$A$2:$A$19, ①オッズ入力!$D$2:$D$19, 0)), 0)</f>
        <v>0.17014298287160048</v>
      </c>
      <c r="E327">
        <f>IFERROR(IF(_xlfn.XLOOKUP(B327, ①オッズ入力!$A$2:$A$19, ①オッズ入力!$D$2:$D$19, "")="", 0, _xlfn.XLOOKUP(B327, ①オッズ入力!$A$2:$A$19, ①オッズ入力!$D$2:$D$19, 0)), 0)</f>
        <v>1.7865013201518051E-2</v>
      </c>
      <c r="F327">
        <f>IFERROR(IF(_xlfn.XLOOKUP(C327, ①オッズ入力!$A$2:$A$19, ①オッズ入力!$D$2:$D$19, "")="", 0, _xlfn.XLOOKUP(C327, ①オッズ入力!$A$2:$A$19, ①オッズ入力!$D$2:$D$19, 0)), 0)</f>
        <v>1.6240921092289137E-2</v>
      </c>
      <c r="G327">
        <f t="shared" si="10"/>
        <v>20256.852221822744</v>
      </c>
      <c r="H327">
        <f>IF(G327="", 0, IF(OR(A327=③資金配分!$D$1, A327=③資金配分!$D$2, B327=③資金配分!$D$1, B327=③資金配分!$D$2, C327=③資金配分!$D$1, C327=③資金配分!$D$2), 0, IF(OR(A327=③資金配分!$D$4, A327=③資金配分!$D$5, A327=③資金配分!$D$6, B327=③資金配分!$D$4, B327=③資金配分!$D$5, B327=③資金配分!$D$6, C327=③資金配分!$D$4, C327=③資金配分!$D$5, C327=③資金配分!$D$6), 0, IF(AND(③資金配分!$B$8&gt;0, G327&lt;=③資金配分!$B$8), 1, 0))))</f>
        <v>0</v>
      </c>
      <c r="I327">
        <f t="shared" si="11"/>
        <v>0</v>
      </c>
      <c r="J327">
        <f>IF(I327&gt;0, ROUND((I327 / SUM($I$2:$I$817)) * ③資金配分!$B$7, -2), 0)</f>
        <v>0</v>
      </c>
    </row>
    <row r="328" spans="1:10" x14ac:dyDescent="0.4">
      <c r="A328">
        <v>3</v>
      </c>
      <c r="B328">
        <v>10</v>
      </c>
      <c r="C328">
        <v>12</v>
      </c>
      <c r="D328">
        <f>IFERROR(IF(_xlfn.XLOOKUP(A328, ①オッズ入力!$A$2:$A$19, ①オッズ入力!$D$2:$D$19, "")="", 0, _xlfn.XLOOKUP(A328, ①オッズ入力!$A$2:$A$19, ①オッズ入力!$D$2:$D$19, 0)), 0)</f>
        <v>0.17014298287160048</v>
      </c>
      <c r="E328">
        <f>IFERROR(IF(_xlfn.XLOOKUP(B328, ①オッズ入力!$A$2:$A$19, ①オッズ入力!$D$2:$D$19, "")="", 0, _xlfn.XLOOKUP(B328, ①オッズ入力!$A$2:$A$19, ①オッズ入力!$D$2:$D$19, 0)), 0)</f>
        <v>1.7865013201518051E-2</v>
      </c>
      <c r="F328">
        <f>IFERROR(IF(_xlfn.XLOOKUP(C328, ①オッズ入力!$A$2:$A$19, ①オッズ入力!$D$2:$D$19, "")="", 0, _xlfn.XLOOKUP(C328, ①オッズ入力!$A$2:$A$19, ①オッズ入力!$D$2:$D$19, 0)), 0)</f>
        <v>1.4887511001265043E-2</v>
      </c>
      <c r="G328">
        <f t="shared" si="10"/>
        <v>22098.38424198845</v>
      </c>
      <c r="H328">
        <f>IF(G328="", 0, IF(OR(A328=③資金配分!$D$1, A328=③資金配分!$D$2, B328=③資金配分!$D$1, B328=③資金配分!$D$2, C328=③資金配分!$D$1, C328=③資金配分!$D$2), 0, IF(OR(A328=③資金配分!$D$4, A328=③資金配分!$D$5, A328=③資金配分!$D$6, B328=③資金配分!$D$4, B328=③資金配分!$D$5, B328=③資金配分!$D$6, C328=③資金配分!$D$4, C328=③資金配分!$D$5, C328=③資金配分!$D$6), 0, IF(AND(③資金配分!$B$8&gt;0, G328&lt;=③資金配分!$B$8), 1, 0))))</f>
        <v>0</v>
      </c>
      <c r="I328">
        <f t="shared" si="11"/>
        <v>0</v>
      </c>
      <c r="J328">
        <f>IF(I328&gt;0, ROUND((I328 / SUM($I$2:$I$817)) * ③資金配分!$B$7, -2), 0)</f>
        <v>0</v>
      </c>
    </row>
    <row r="329" spans="1:10" x14ac:dyDescent="0.4">
      <c r="A329">
        <v>3</v>
      </c>
      <c r="B329">
        <v>10</v>
      </c>
      <c r="C329">
        <v>13</v>
      </c>
      <c r="D329">
        <f>IFERROR(IF(_xlfn.XLOOKUP(A329, ①オッズ入力!$A$2:$A$19, ①オッズ入力!$D$2:$D$19, "")="", 0, _xlfn.XLOOKUP(A329, ①オッズ入力!$A$2:$A$19, ①オッズ入力!$D$2:$D$19, 0)), 0)</f>
        <v>0.17014298287160048</v>
      </c>
      <c r="E329">
        <f>IFERROR(IF(_xlfn.XLOOKUP(B329, ①オッズ入力!$A$2:$A$19, ①オッズ入力!$D$2:$D$19, "")="", 0, _xlfn.XLOOKUP(B329, ①オッズ入力!$A$2:$A$19, ①オッズ入力!$D$2:$D$19, 0)), 0)</f>
        <v>1.7865013201518051E-2</v>
      </c>
      <c r="F329">
        <f>IFERROR(IF(_xlfn.XLOOKUP(C329, ①オッズ入力!$A$2:$A$19, ①オッズ入力!$D$2:$D$19, "")="", 0, _xlfn.XLOOKUP(C329, ①オッズ入力!$A$2:$A$19, ①オッズ入力!$D$2:$D$19, 0)), 0)</f>
        <v>1.2760723715370036E-2</v>
      </c>
      <c r="G329">
        <f t="shared" si="10"/>
        <v>25781.448282319856</v>
      </c>
      <c r="H329">
        <f>IF(G329="", 0, IF(OR(A329=③資金配分!$D$1, A329=③資金配分!$D$2, B329=③資金配分!$D$1, B329=③資金配分!$D$2, C329=③資金配分!$D$1, C329=③資金配分!$D$2), 0, IF(OR(A329=③資金配分!$D$4, A329=③資金配分!$D$5, A329=③資金配分!$D$6, B329=③資金配分!$D$4, B329=③資金配分!$D$5, B329=③資金配分!$D$6, C329=③資金配分!$D$4, C329=③資金配分!$D$5, C329=③資金配分!$D$6), 0, IF(AND(③資金配分!$B$8&gt;0, G329&lt;=③資金配分!$B$8), 1, 0))))</f>
        <v>0</v>
      </c>
      <c r="I329">
        <f t="shared" si="11"/>
        <v>0</v>
      </c>
      <c r="J329">
        <f>IF(I329&gt;0, ROUND((I329 / SUM($I$2:$I$817)) * ③資金配分!$B$7, -2), 0)</f>
        <v>0</v>
      </c>
    </row>
    <row r="330" spans="1:10" x14ac:dyDescent="0.4">
      <c r="A330">
        <v>3</v>
      </c>
      <c r="B330">
        <v>10</v>
      </c>
      <c r="C330">
        <v>14</v>
      </c>
      <c r="D330">
        <f>IFERROR(IF(_xlfn.XLOOKUP(A330, ①オッズ入力!$A$2:$A$19, ①オッズ入力!$D$2:$D$19, "")="", 0, _xlfn.XLOOKUP(A330, ①オッズ入力!$A$2:$A$19, ①オッズ入力!$D$2:$D$19, 0)), 0)</f>
        <v>0.17014298287160048</v>
      </c>
      <c r="E330">
        <f>IFERROR(IF(_xlfn.XLOOKUP(B330, ①オッズ入力!$A$2:$A$19, ①オッズ入力!$D$2:$D$19, "")="", 0, _xlfn.XLOOKUP(B330, ①オッズ入力!$A$2:$A$19, ①オッズ入力!$D$2:$D$19, 0)), 0)</f>
        <v>1.7865013201518051E-2</v>
      </c>
      <c r="F330">
        <f>IFERROR(IF(_xlfn.XLOOKUP(C330, ①オッズ入力!$A$2:$A$19, ①オッズ入力!$D$2:$D$19, "")="", 0, _xlfn.XLOOKUP(C330, ①オッズ入力!$A$2:$A$19, ①オッズ入力!$D$2:$D$19, 0)), 0)</f>
        <v>1.1525814968721322E-2</v>
      </c>
      <c r="G330">
        <f t="shared" si="10"/>
        <v>28543.746312568412</v>
      </c>
      <c r="H330">
        <f>IF(G330="", 0, IF(OR(A330=③資金配分!$D$1, A330=③資金配分!$D$2, B330=③資金配分!$D$1, B330=③資金配分!$D$2, C330=③資金配分!$D$1, C330=③資金配分!$D$2), 0, IF(OR(A330=③資金配分!$D$4, A330=③資金配分!$D$5, A330=③資金配分!$D$6, B330=③資金配分!$D$4, B330=③資金配分!$D$5, B330=③資金配分!$D$6, C330=③資金配分!$D$4, C330=③資金配分!$D$5, C330=③資金配分!$D$6), 0, IF(AND(③資金配分!$B$8&gt;0, G330&lt;=③資金配分!$B$8), 1, 0))))</f>
        <v>0</v>
      </c>
      <c r="I330">
        <f t="shared" si="11"/>
        <v>0</v>
      </c>
      <c r="J330">
        <f>IF(I330&gt;0, ROUND((I330 / SUM($I$2:$I$817)) * ③資金配分!$B$7, -2), 0)</f>
        <v>0</v>
      </c>
    </row>
    <row r="331" spans="1:10" x14ac:dyDescent="0.4">
      <c r="A331">
        <v>3</v>
      </c>
      <c r="B331">
        <v>10</v>
      </c>
      <c r="C331">
        <v>15</v>
      </c>
      <c r="D331">
        <f>IFERROR(IF(_xlfn.XLOOKUP(A331, ①オッズ入力!$A$2:$A$19, ①オッズ入力!$D$2:$D$19, "")="", 0, _xlfn.XLOOKUP(A331, ①オッズ入力!$A$2:$A$19, ①オッズ入力!$D$2:$D$19, 0)), 0)</f>
        <v>0.17014298287160048</v>
      </c>
      <c r="E331">
        <f>IFERROR(IF(_xlfn.XLOOKUP(B331, ①オッズ入力!$A$2:$A$19, ①オッズ入力!$D$2:$D$19, "")="", 0, _xlfn.XLOOKUP(B331, ①オッズ入力!$A$2:$A$19, ①オッズ入力!$D$2:$D$19, 0)), 0)</f>
        <v>1.7865013201518051E-2</v>
      </c>
      <c r="F331">
        <f>IFERROR(IF(_xlfn.XLOOKUP(C331, ①オッズ入力!$A$2:$A$19, ①オッズ入力!$D$2:$D$19, "")="", 0, _xlfn.XLOOKUP(C331, ①オッズ入力!$A$2:$A$19, ①オッズ入力!$D$2:$D$19, 0)), 0)</f>
        <v>1.0697612695519792E-2</v>
      </c>
      <c r="G331">
        <f t="shared" si="10"/>
        <v>30753.584736767254</v>
      </c>
      <c r="H331">
        <f>IF(G331="", 0, IF(OR(A331=③資金配分!$D$1, A331=③資金配分!$D$2, B331=③資金配分!$D$1, B331=③資金配分!$D$2, C331=③資金配分!$D$1, C331=③資金配分!$D$2), 0, IF(OR(A331=③資金配分!$D$4, A331=③資金配分!$D$5, A331=③資金配分!$D$6, B331=③資金配分!$D$4, B331=③資金配分!$D$5, B331=③資金配分!$D$6, C331=③資金配分!$D$4, C331=③資金配分!$D$5, C331=③資金配分!$D$6), 0, IF(AND(③資金配分!$B$8&gt;0, G331&lt;=③資金配分!$B$8), 1, 0))))</f>
        <v>0</v>
      </c>
      <c r="I331">
        <f t="shared" si="11"/>
        <v>0</v>
      </c>
      <c r="J331">
        <f>IF(I331&gt;0, ROUND((I331 / SUM($I$2:$I$817)) * ③資金配分!$B$7, -2), 0)</f>
        <v>0</v>
      </c>
    </row>
    <row r="332" spans="1:10" x14ac:dyDescent="0.4">
      <c r="A332">
        <v>3</v>
      </c>
      <c r="B332">
        <v>10</v>
      </c>
      <c r="C332">
        <v>16</v>
      </c>
      <c r="D332">
        <f>IFERROR(IF(_xlfn.XLOOKUP(A332, ①オッズ入力!$A$2:$A$19, ①オッズ入力!$D$2:$D$19, "")="", 0, _xlfn.XLOOKUP(A332, ①オッズ入力!$A$2:$A$19, ①オッズ入力!$D$2:$D$19, 0)), 0)</f>
        <v>0.17014298287160048</v>
      </c>
      <c r="E332">
        <f>IFERROR(IF(_xlfn.XLOOKUP(B332, ①オッズ入力!$A$2:$A$19, ①オッズ入力!$D$2:$D$19, "")="", 0, _xlfn.XLOOKUP(B332, ①オッズ入力!$A$2:$A$19, ①オッズ入力!$D$2:$D$19, 0)), 0)</f>
        <v>1.7865013201518051E-2</v>
      </c>
      <c r="F332">
        <f>IFERROR(IF(_xlfn.XLOOKUP(C332, ①オッズ入力!$A$2:$A$19, ①オッズ入力!$D$2:$D$19, "")="", 0, _xlfn.XLOOKUP(C332, ①オッズ入力!$A$2:$A$19, ①オッズ入力!$D$2:$D$19, 0)), 0)</f>
        <v>9.8701730395127345E-3</v>
      </c>
      <c r="G332">
        <f t="shared" si="10"/>
        <v>33331.729564999245</v>
      </c>
      <c r="H332">
        <f>IF(G332="", 0, IF(OR(A332=③資金配分!$D$1, A332=③資金配分!$D$2, B332=③資金配分!$D$1, B332=③資金配分!$D$2, C332=③資金配分!$D$1, C332=③資金配分!$D$2), 0, IF(OR(A332=③資金配分!$D$4, A332=③資金配分!$D$5, A332=③資金配分!$D$6, B332=③資金配分!$D$4, B332=③資金配分!$D$5, B332=③資金配分!$D$6, C332=③資金配分!$D$4, C332=③資金配分!$D$5, C332=③資金配分!$D$6), 0, IF(AND(③資金配分!$B$8&gt;0, G332&lt;=③資金配分!$B$8), 1, 0))))</f>
        <v>0</v>
      </c>
      <c r="I332">
        <f t="shared" si="11"/>
        <v>0</v>
      </c>
      <c r="J332">
        <f>IF(I332&gt;0, ROUND((I332 / SUM($I$2:$I$817)) * ③資金配分!$B$7, -2), 0)</f>
        <v>0</v>
      </c>
    </row>
    <row r="333" spans="1:10" x14ac:dyDescent="0.4">
      <c r="A333">
        <v>3</v>
      </c>
      <c r="B333">
        <v>10</v>
      </c>
      <c r="C333">
        <v>17</v>
      </c>
      <c r="D333">
        <f>IFERROR(IF(_xlfn.XLOOKUP(A333, ①オッズ入力!$A$2:$A$19, ①オッズ入力!$D$2:$D$19, "")="", 0, _xlfn.XLOOKUP(A333, ①オッズ入力!$A$2:$A$19, ①オッズ入力!$D$2:$D$19, 0)), 0)</f>
        <v>0.17014298287160048</v>
      </c>
      <c r="E333">
        <f>IFERROR(IF(_xlfn.XLOOKUP(B333, ①オッズ入力!$A$2:$A$19, ①オッズ入力!$D$2:$D$19, "")="", 0, _xlfn.XLOOKUP(B333, ①オッズ入力!$A$2:$A$19, ①オッズ入力!$D$2:$D$19, 0)), 0)</f>
        <v>1.7865013201518051E-2</v>
      </c>
      <c r="F333">
        <f>IFERROR(IF(_xlfn.XLOOKUP(C333, ①オッズ入力!$A$2:$A$19, ①オッズ入力!$D$2:$D$19, "")="", 0, _xlfn.XLOOKUP(C333, ①オッズ入力!$A$2:$A$19, ①オッズ入力!$D$2:$D$19, 0)), 0)</f>
        <v>9.1615452315477186E-3</v>
      </c>
      <c r="G333">
        <f t="shared" si="10"/>
        <v>35909.874393231228</v>
      </c>
      <c r="H333">
        <f>IF(G333="", 0, IF(OR(A333=③資金配分!$D$1, A333=③資金配分!$D$2, B333=③資金配分!$D$1, B333=③資金配分!$D$2, C333=③資金配分!$D$1, C333=③資金配分!$D$2), 0, IF(OR(A333=③資金配分!$D$4, A333=③資金配分!$D$5, A333=③資金配分!$D$6, B333=③資金配分!$D$4, B333=③資金配分!$D$5, B333=③資金配分!$D$6, C333=③資金配分!$D$4, C333=③資金配分!$D$5, C333=③資金配分!$D$6), 0, IF(AND(③資金配分!$B$8&gt;0, G333&lt;=③資金配分!$B$8), 1, 0))))</f>
        <v>0</v>
      </c>
      <c r="I333">
        <f t="shared" si="11"/>
        <v>0</v>
      </c>
      <c r="J333">
        <f>IF(I333&gt;0, ROUND((I333 / SUM($I$2:$I$817)) * ③資金配分!$B$7, -2), 0)</f>
        <v>0</v>
      </c>
    </row>
    <row r="334" spans="1:10" x14ac:dyDescent="0.4">
      <c r="A334">
        <v>3</v>
      </c>
      <c r="B334">
        <v>10</v>
      </c>
      <c r="C334">
        <v>18</v>
      </c>
      <c r="D334">
        <f>IFERROR(IF(_xlfn.XLOOKUP(A334, ①オッズ入力!$A$2:$A$19, ①オッズ入力!$D$2:$D$19, "")="", 0, _xlfn.XLOOKUP(A334, ①オッズ入力!$A$2:$A$19, ①オッズ入力!$D$2:$D$19, 0)), 0)</f>
        <v>0.17014298287160048</v>
      </c>
      <c r="E334">
        <f>IFERROR(IF(_xlfn.XLOOKUP(B334, ①オッズ入力!$A$2:$A$19, ①オッズ入力!$D$2:$D$19, "")="", 0, _xlfn.XLOOKUP(B334, ①オッズ入力!$A$2:$A$19, ①オッズ入力!$D$2:$D$19, 0)), 0)</f>
        <v>1.7865013201518051E-2</v>
      </c>
      <c r="F334">
        <f>IFERROR(IF(_xlfn.XLOOKUP(C334, ①オッズ入力!$A$2:$A$19, ①オッズ入力!$D$2:$D$19, "")="", 0, _xlfn.XLOOKUP(C334, ①オッズ入力!$A$2:$A$19, ①オッズ入力!$D$2:$D$19, 0)), 0)</f>
        <v>8.5478532064679671E-3</v>
      </c>
      <c r="G334">
        <f t="shared" si="10"/>
        <v>38488.019221463212</v>
      </c>
      <c r="H334">
        <f>IF(G334="", 0, IF(OR(A334=③資金配分!$D$1, A334=③資金配分!$D$2, B334=③資金配分!$D$1, B334=③資金配分!$D$2, C334=③資金配分!$D$1, C334=③資金配分!$D$2), 0, IF(OR(A334=③資金配分!$D$4, A334=③資金配分!$D$5, A334=③資金配分!$D$6, B334=③資金配分!$D$4, B334=③資金配分!$D$5, B334=③資金配分!$D$6, C334=③資金配分!$D$4, C334=③資金配分!$D$5, C334=③資金配分!$D$6), 0, IF(AND(③資金配分!$B$8&gt;0, G334&lt;=③資金配分!$B$8), 1, 0))))</f>
        <v>0</v>
      </c>
      <c r="I334">
        <f t="shared" si="11"/>
        <v>0</v>
      </c>
      <c r="J334">
        <f>IF(I334&gt;0, ROUND((I334 / SUM($I$2:$I$817)) * ③資金配分!$B$7, -2), 0)</f>
        <v>0</v>
      </c>
    </row>
    <row r="335" spans="1:10" x14ac:dyDescent="0.4">
      <c r="A335">
        <v>3</v>
      </c>
      <c r="B335">
        <v>11</v>
      </c>
      <c r="C335">
        <v>12</v>
      </c>
      <c r="D335">
        <f>IFERROR(IF(_xlfn.XLOOKUP(A335, ①オッズ入力!$A$2:$A$19, ①オッズ入力!$D$2:$D$19, "")="", 0, _xlfn.XLOOKUP(A335, ①オッズ入力!$A$2:$A$19, ①オッズ入力!$D$2:$D$19, 0)), 0)</f>
        <v>0.17014298287160048</v>
      </c>
      <c r="E335">
        <f>IFERROR(IF(_xlfn.XLOOKUP(B335, ①オッズ入力!$A$2:$A$19, ①オッズ入力!$D$2:$D$19, "")="", 0, _xlfn.XLOOKUP(B335, ①オッズ入力!$A$2:$A$19, ①オッズ入力!$D$2:$D$19, 0)), 0)</f>
        <v>1.6240921092289137E-2</v>
      </c>
      <c r="F335">
        <f>IFERROR(IF(_xlfn.XLOOKUP(C335, ①オッズ入力!$A$2:$A$19, ①オッズ入力!$D$2:$D$19, "")="", 0, _xlfn.XLOOKUP(C335, ①オッズ入力!$A$2:$A$19, ①オッズ入力!$D$2:$D$19, 0)), 0)</f>
        <v>1.4887511001265043E-2</v>
      </c>
      <c r="G335">
        <f t="shared" si="10"/>
        <v>24308.222666187288</v>
      </c>
      <c r="H335">
        <f>IF(G335="", 0, IF(OR(A335=③資金配分!$D$1, A335=③資金配分!$D$2, B335=③資金配分!$D$1, B335=③資金配分!$D$2, C335=③資金配分!$D$1, C335=③資金配分!$D$2), 0, IF(OR(A335=③資金配分!$D$4, A335=③資金配分!$D$5, A335=③資金配分!$D$6, B335=③資金配分!$D$4, B335=③資金配分!$D$5, B335=③資金配分!$D$6, C335=③資金配分!$D$4, C335=③資金配分!$D$5, C335=③資金配分!$D$6), 0, IF(AND(③資金配分!$B$8&gt;0, G335&lt;=③資金配分!$B$8), 1, 0))))</f>
        <v>0</v>
      </c>
      <c r="I335">
        <f t="shared" si="11"/>
        <v>0</v>
      </c>
      <c r="J335">
        <f>IF(I335&gt;0, ROUND((I335 / SUM($I$2:$I$817)) * ③資金配分!$B$7, -2), 0)</f>
        <v>0</v>
      </c>
    </row>
    <row r="336" spans="1:10" x14ac:dyDescent="0.4">
      <c r="A336">
        <v>3</v>
      </c>
      <c r="B336">
        <v>11</v>
      </c>
      <c r="C336">
        <v>13</v>
      </c>
      <c r="D336">
        <f>IFERROR(IF(_xlfn.XLOOKUP(A336, ①オッズ入力!$A$2:$A$19, ①オッズ入力!$D$2:$D$19, "")="", 0, _xlfn.XLOOKUP(A336, ①オッズ入力!$A$2:$A$19, ①オッズ入力!$D$2:$D$19, 0)), 0)</f>
        <v>0.17014298287160048</v>
      </c>
      <c r="E336">
        <f>IFERROR(IF(_xlfn.XLOOKUP(B336, ①オッズ入力!$A$2:$A$19, ①オッズ入力!$D$2:$D$19, "")="", 0, _xlfn.XLOOKUP(B336, ①オッズ入力!$A$2:$A$19, ①オッズ入力!$D$2:$D$19, 0)), 0)</f>
        <v>1.6240921092289137E-2</v>
      </c>
      <c r="F336">
        <f>IFERROR(IF(_xlfn.XLOOKUP(C336, ①オッズ入力!$A$2:$A$19, ①オッズ入力!$D$2:$D$19, "")="", 0, _xlfn.XLOOKUP(C336, ①オッズ入力!$A$2:$A$19, ①オッズ入力!$D$2:$D$19, 0)), 0)</f>
        <v>1.2760723715370036E-2</v>
      </c>
      <c r="G336">
        <f t="shared" si="10"/>
        <v>28359.593110551843</v>
      </c>
      <c r="H336">
        <f>IF(G336="", 0, IF(OR(A336=③資金配分!$D$1, A336=③資金配分!$D$2, B336=③資金配分!$D$1, B336=③資金配分!$D$2, C336=③資金配分!$D$1, C336=③資金配分!$D$2), 0, IF(OR(A336=③資金配分!$D$4, A336=③資金配分!$D$5, A336=③資金配分!$D$6, B336=③資金配分!$D$4, B336=③資金配分!$D$5, B336=③資金配分!$D$6, C336=③資金配分!$D$4, C336=③資金配分!$D$5, C336=③資金配分!$D$6), 0, IF(AND(③資金配分!$B$8&gt;0, G336&lt;=③資金配分!$B$8), 1, 0))))</f>
        <v>0</v>
      </c>
      <c r="I336">
        <f t="shared" si="11"/>
        <v>0</v>
      </c>
      <c r="J336">
        <f>IF(I336&gt;0, ROUND((I336 / SUM($I$2:$I$817)) * ③資金配分!$B$7, -2), 0)</f>
        <v>0</v>
      </c>
    </row>
    <row r="337" spans="1:10" x14ac:dyDescent="0.4">
      <c r="A337">
        <v>3</v>
      </c>
      <c r="B337">
        <v>11</v>
      </c>
      <c r="C337">
        <v>14</v>
      </c>
      <c r="D337">
        <f>IFERROR(IF(_xlfn.XLOOKUP(A337, ①オッズ入力!$A$2:$A$19, ①オッズ入力!$D$2:$D$19, "")="", 0, _xlfn.XLOOKUP(A337, ①オッズ入力!$A$2:$A$19, ①オッズ入力!$D$2:$D$19, 0)), 0)</f>
        <v>0.17014298287160048</v>
      </c>
      <c r="E337">
        <f>IFERROR(IF(_xlfn.XLOOKUP(B337, ①オッズ入力!$A$2:$A$19, ①オッズ入力!$D$2:$D$19, "")="", 0, _xlfn.XLOOKUP(B337, ①オッズ入力!$A$2:$A$19, ①オッズ入力!$D$2:$D$19, 0)), 0)</f>
        <v>1.6240921092289137E-2</v>
      </c>
      <c r="F337">
        <f>IFERROR(IF(_xlfn.XLOOKUP(C337, ①オッズ入力!$A$2:$A$19, ①オッズ入力!$D$2:$D$19, "")="", 0, _xlfn.XLOOKUP(C337, ①オッズ入力!$A$2:$A$19, ①オッズ入力!$D$2:$D$19, 0)), 0)</f>
        <v>1.1525814968721322E-2</v>
      </c>
      <c r="G337">
        <f t="shared" si="10"/>
        <v>31398.120943825255</v>
      </c>
      <c r="H337">
        <f>IF(G337="", 0, IF(OR(A337=③資金配分!$D$1, A337=③資金配分!$D$2, B337=③資金配分!$D$1, B337=③資金配分!$D$2, C337=③資金配分!$D$1, C337=③資金配分!$D$2), 0, IF(OR(A337=③資金配分!$D$4, A337=③資金配分!$D$5, A337=③資金配分!$D$6, B337=③資金配分!$D$4, B337=③資金配分!$D$5, B337=③資金配分!$D$6, C337=③資金配分!$D$4, C337=③資金配分!$D$5, C337=③資金配分!$D$6), 0, IF(AND(③資金配分!$B$8&gt;0, G337&lt;=③資金配分!$B$8), 1, 0))))</f>
        <v>0</v>
      </c>
      <c r="I337">
        <f t="shared" si="11"/>
        <v>0</v>
      </c>
      <c r="J337">
        <f>IF(I337&gt;0, ROUND((I337 / SUM($I$2:$I$817)) * ③資金配分!$B$7, -2), 0)</f>
        <v>0</v>
      </c>
    </row>
    <row r="338" spans="1:10" x14ac:dyDescent="0.4">
      <c r="A338">
        <v>3</v>
      </c>
      <c r="B338">
        <v>11</v>
      </c>
      <c r="C338">
        <v>15</v>
      </c>
      <c r="D338">
        <f>IFERROR(IF(_xlfn.XLOOKUP(A338, ①オッズ入力!$A$2:$A$19, ①オッズ入力!$D$2:$D$19, "")="", 0, _xlfn.XLOOKUP(A338, ①オッズ入力!$A$2:$A$19, ①オッズ入力!$D$2:$D$19, 0)), 0)</f>
        <v>0.17014298287160048</v>
      </c>
      <c r="E338">
        <f>IFERROR(IF(_xlfn.XLOOKUP(B338, ①オッズ入力!$A$2:$A$19, ①オッズ入力!$D$2:$D$19, "")="", 0, _xlfn.XLOOKUP(B338, ①オッズ入力!$A$2:$A$19, ①オッズ入力!$D$2:$D$19, 0)), 0)</f>
        <v>1.6240921092289137E-2</v>
      </c>
      <c r="F338">
        <f>IFERROR(IF(_xlfn.XLOOKUP(C338, ①オッズ入力!$A$2:$A$19, ①オッズ入力!$D$2:$D$19, "")="", 0, _xlfn.XLOOKUP(C338, ①オッズ入力!$A$2:$A$19, ①オッズ入力!$D$2:$D$19, 0)), 0)</f>
        <v>1.0697612695519792E-2</v>
      </c>
      <c r="G338">
        <f t="shared" si="10"/>
        <v>33828.943210443977</v>
      </c>
      <c r="H338">
        <f>IF(G338="", 0, IF(OR(A338=③資金配分!$D$1, A338=③資金配分!$D$2, B338=③資金配分!$D$1, B338=③資金配分!$D$2, C338=③資金配分!$D$1, C338=③資金配分!$D$2), 0, IF(OR(A338=③資金配分!$D$4, A338=③資金配分!$D$5, A338=③資金配分!$D$6, B338=③資金配分!$D$4, B338=③資金配分!$D$5, B338=③資金配分!$D$6, C338=③資金配分!$D$4, C338=③資金配分!$D$5, C338=③資金配分!$D$6), 0, IF(AND(③資金配分!$B$8&gt;0, G338&lt;=③資金配分!$B$8), 1, 0))))</f>
        <v>0</v>
      </c>
      <c r="I338">
        <f t="shared" si="11"/>
        <v>0</v>
      </c>
      <c r="J338">
        <f>IF(I338&gt;0, ROUND((I338 / SUM($I$2:$I$817)) * ③資金配分!$B$7, -2), 0)</f>
        <v>0</v>
      </c>
    </row>
    <row r="339" spans="1:10" x14ac:dyDescent="0.4">
      <c r="A339">
        <v>3</v>
      </c>
      <c r="B339">
        <v>11</v>
      </c>
      <c r="C339">
        <v>16</v>
      </c>
      <c r="D339">
        <f>IFERROR(IF(_xlfn.XLOOKUP(A339, ①オッズ入力!$A$2:$A$19, ①オッズ入力!$D$2:$D$19, "")="", 0, _xlfn.XLOOKUP(A339, ①オッズ入力!$A$2:$A$19, ①オッズ入力!$D$2:$D$19, 0)), 0)</f>
        <v>0.17014298287160048</v>
      </c>
      <c r="E339">
        <f>IFERROR(IF(_xlfn.XLOOKUP(B339, ①オッズ入力!$A$2:$A$19, ①オッズ入力!$D$2:$D$19, "")="", 0, _xlfn.XLOOKUP(B339, ①オッズ入力!$A$2:$A$19, ①オッズ入力!$D$2:$D$19, 0)), 0)</f>
        <v>1.6240921092289137E-2</v>
      </c>
      <c r="F339">
        <f>IFERROR(IF(_xlfn.XLOOKUP(C339, ①オッズ入力!$A$2:$A$19, ①オッズ入力!$D$2:$D$19, "")="", 0, _xlfn.XLOOKUP(C339, ①オッズ入力!$A$2:$A$19, ①オッズ入力!$D$2:$D$19, 0)), 0)</f>
        <v>9.8701730395127345E-3</v>
      </c>
      <c r="G339">
        <f t="shared" si="10"/>
        <v>36664.902521499171</v>
      </c>
      <c r="H339">
        <f>IF(G339="", 0, IF(OR(A339=③資金配分!$D$1, A339=③資金配分!$D$2, B339=③資金配分!$D$1, B339=③資金配分!$D$2, C339=③資金配分!$D$1, C339=③資金配分!$D$2), 0, IF(OR(A339=③資金配分!$D$4, A339=③資金配分!$D$5, A339=③資金配分!$D$6, B339=③資金配分!$D$4, B339=③資金配分!$D$5, B339=③資金配分!$D$6, C339=③資金配分!$D$4, C339=③資金配分!$D$5, C339=③資金配分!$D$6), 0, IF(AND(③資金配分!$B$8&gt;0, G339&lt;=③資金配分!$B$8), 1, 0))))</f>
        <v>0</v>
      </c>
      <c r="I339">
        <f t="shared" si="11"/>
        <v>0</v>
      </c>
      <c r="J339">
        <f>IF(I339&gt;0, ROUND((I339 / SUM($I$2:$I$817)) * ③資金配分!$B$7, -2), 0)</f>
        <v>0</v>
      </c>
    </row>
    <row r="340" spans="1:10" x14ac:dyDescent="0.4">
      <c r="A340">
        <v>3</v>
      </c>
      <c r="B340">
        <v>11</v>
      </c>
      <c r="C340">
        <v>17</v>
      </c>
      <c r="D340">
        <f>IFERROR(IF(_xlfn.XLOOKUP(A340, ①オッズ入力!$A$2:$A$19, ①オッズ入力!$D$2:$D$19, "")="", 0, _xlfn.XLOOKUP(A340, ①オッズ入力!$A$2:$A$19, ①オッズ入力!$D$2:$D$19, 0)), 0)</f>
        <v>0.17014298287160048</v>
      </c>
      <c r="E340">
        <f>IFERROR(IF(_xlfn.XLOOKUP(B340, ①オッズ入力!$A$2:$A$19, ①オッズ入力!$D$2:$D$19, "")="", 0, _xlfn.XLOOKUP(B340, ①オッズ入力!$A$2:$A$19, ①オッズ入力!$D$2:$D$19, 0)), 0)</f>
        <v>1.6240921092289137E-2</v>
      </c>
      <c r="F340">
        <f>IFERROR(IF(_xlfn.XLOOKUP(C340, ①オッズ入力!$A$2:$A$19, ①オッズ入力!$D$2:$D$19, "")="", 0, _xlfn.XLOOKUP(C340, ①オッズ入力!$A$2:$A$19, ①オッズ入力!$D$2:$D$19, 0)), 0)</f>
        <v>9.1615452315477186E-3</v>
      </c>
      <c r="G340">
        <f t="shared" si="10"/>
        <v>39500.86183255435</v>
      </c>
      <c r="H340">
        <f>IF(G340="", 0, IF(OR(A340=③資金配分!$D$1, A340=③資金配分!$D$2, B340=③資金配分!$D$1, B340=③資金配分!$D$2, C340=③資金配分!$D$1, C340=③資金配分!$D$2), 0, IF(OR(A340=③資金配分!$D$4, A340=③資金配分!$D$5, A340=③資金配分!$D$6, B340=③資金配分!$D$4, B340=③資金配分!$D$5, B340=③資金配分!$D$6, C340=③資金配分!$D$4, C340=③資金配分!$D$5, C340=③資金配分!$D$6), 0, IF(AND(③資金配分!$B$8&gt;0, G340&lt;=③資金配分!$B$8), 1, 0))))</f>
        <v>0</v>
      </c>
      <c r="I340">
        <f t="shared" si="11"/>
        <v>0</v>
      </c>
      <c r="J340">
        <f>IF(I340&gt;0, ROUND((I340 / SUM($I$2:$I$817)) * ③資金配分!$B$7, -2), 0)</f>
        <v>0</v>
      </c>
    </row>
    <row r="341" spans="1:10" x14ac:dyDescent="0.4">
      <c r="A341">
        <v>3</v>
      </c>
      <c r="B341">
        <v>11</v>
      </c>
      <c r="C341">
        <v>18</v>
      </c>
      <c r="D341">
        <f>IFERROR(IF(_xlfn.XLOOKUP(A341, ①オッズ入力!$A$2:$A$19, ①オッズ入力!$D$2:$D$19, "")="", 0, _xlfn.XLOOKUP(A341, ①オッズ入力!$A$2:$A$19, ①オッズ入力!$D$2:$D$19, 0)), 0)</f>
        <v>0.17014298287160048</v>
      </c>
      <c r="E341">
        <f>IFERROR(IF(_xlfn.XLOOKUP(B341, ①オッズ入力!$A$2:$A$19, ①オッズ入力!$D$2:$D$19, "")="", 0, _xlfn.XLOOKUP(B341, ①オッズ入力!$A$2:$A$19, ①オッズ入力!$D$2:$D$19, 0)), 0)</f>
        <v>1.6240921092289137E-2</v>
      </c>
      <c r="F341">
        <f>IFERROR(IF(_xlfn.XLOOKUP(C341, ①オッズ入力!$A$2:$A$19, ①オッズ入力!$D$2:$D$19, "")="", 0, _xlfn.XLOOKUP(C341, ①オッズ入力!$A$2:$A$19, ①オッズ入力!$D$2:$D$19, 0)), 0)</f>
        <v>8.5478532064679671E-3</v>
      </c>
      <c r="G341">
        <f t="shared" si="10"/>
        <v>42336.82114360953</v>
      </c>
      <c r="H341">
        <f>IF(G341="", 0, IF(OR(A341=③資金配分!$D$1, A341=③資金配分!$D$2, B341=③資金配分!$D$1, B341=③資金配分!$D$2, C341=③資金配分!$D$1, C341=③資金配分!$D$2), 0, IF(OR(A341=③資金配分!$D$4, A341=③資金配分!$D$5, A341=③資金配分!$D$6, B341=③資金配分!$D$4, B341=③資金配分!$D$5, B341=③資金配分!$D$6, C341=③資金配分!$D$4, C341=③資金配分!$D$5, C341=③資金配分!$D$6), 0, IF(AND(③資金配分!$B$8&gt;0, G341&lt;=③資金配分!$B$8), 1, 0))))</f>
        <v>0</v>
      </c>
      <c r="I341">
        <f t="shared" si="11"/>
        <v>0</v>
      </c>
      <c r="J341">
        <f>IF(I341&gt;0, ROUND((I341 / SUM($I$2:$I$817)) * ③資金配分!$B$7, -2), 0)</f>
        <v>0</v>
      </c>
    </row>
    <row r="342" spans="1:10" x14ac:dyDescent="0.4">
      <c r="A342">
        <v>3</v>
      </c>
      <c r="B342">
        <v>12</v>
      </c>
      <c r="C342">
        <v>13</v>
      </c>
      <c r="D342">
        <f>IFERROR(IF(_xlfn.XLOOKUP(A342, ①オッズ入力!$A$2:$A$19, ①オッズ入力!$D$2:$D$19, "")="", 0, _xlfn.XLOOKUP(A342, ①オッズ入力!$A$2:$A$19, ①オッズ入力!$D$2:$D$19, 0)), 0)</f>
        <v>0.17014298287160048</v>
      </c>
      <c r="E342">
        <f>IFERROR(IF(_xlfn.XLOOKUP(B342, ①オッズ入力!$A$2:$A$19, ①オッズ入力!$D$2:$D$19, "")="", 0, _xlfn.XLOOKUP(B342, ①オッズ入力!$A$2:$A$19, ①オッズ入力!$D$2:$D$19, 0)), 0)</f>
        <v>1.4887511001265043E-2</v>
      </c>
      <c r="F342">
        <f>IFERROR(IF(_xlfn.XLOOKUP(C342, ①オッズ入力!$A$2:$A$19, ①オッズ入力!$D$2:$D$19, "")="", 0, _xlfn.XLOOKUP(C342, ①オッズ入力!$A$2:$A$19, ①オッズ入力!$D$2:$D$19, 0)), 0)</f>
        <v>1.2760723715370036E-2</v>
      </c>
      <c r="G342">
        <f t="shared" si="10"/>
        <v>30937.737938783826</v>
      </c>
      <c r="H342">
        <f>IF(G342="", 0, IF(OR(A342=③資金配分!$D$1, A342=③資金配分!$D$2, B342=③資金配分!$D$1, B342=③資金配分!$D$2, C342=③資金配分!$D$1, C342=③資金配分!$D$2), 0, IF(OR(A342=③資金配分!$D$4, A342=③資金配分!$D$5, A342=③資金配分!$D$6, B342=③資金配分!$D$4, B342=③資金配分!$D$5, B342=③資金配分!$D$6, C342=③資金配分!$D$4, C342=③資金配分!$D$5, C342=③資金配分!$D$6), 0, IF(AND(③資金配分!$B$8&gt;0, G342&lt;=③資金配分!$B$8), 1, 0))))</f>
        <v>0</v>
      </c>
      <c r="I342">
        <f t="shared" si="11"/>
        <v>0</v>
      </c>
      <c r="J342">
        <f>IF(I342&gt;0, ROUND((I342 / SUM($I$2:$I$817)) * ③資金配分!$B$7, -2), 0)</f>
        <v>0</v>
      </c>
    </row>
    <row r="343" spans="1:10" x14ac:dyDescent="0.4">
      <c r="A343">
        <v>3</v>
      </c>
      <c r="B343">
        <v>12</v>
      </c>
      <c r="C343">
        <v>14</v>
      </c>
      <c r="D343">
        <f>IFERROR(IF(_xlfn.XLOOKUP(A343, ①オッズ入力!$A$2:$A$19, ①オッズ入力!$D$2:$D$19, "")="", 0, _xlfn.XLOOKUP(A343, ①オッズ入力!$A$2:$A$19, ①オッズ入力!$D$2:$D$19, 0)), 0)</f>
        <v>0.17014298287160048</v>
      </c>
      <c r="E343">
        <f>IFERROR(IF(_xlfn.XLOOKUP(B343, ①オッズ入力!$A$2:$A$19, ①オッズ入力!$D$2:$D$19, "")="", 0, _xlfn.XLOOKUP(B343, ①オッズ入力!$A$2:$A$19, ①オッズ入力!$D$2:$D$19, 0)), 0)</f>
        <v>1.4887511001265043E-2</v>
      </c>
      <c r="F343">
        <f>IFERROR(IF(_xlfn.XLOOKUP(C343, ①オッズ入力!$A$2:$A$19, ①オッズ入力!$D$2:$D$19, "")="", 0, _xlfn.XLOOKUP(C343, ①オッズ入力!$A$2:$A$19, ①オッズ入力!$D$2:$D$19, 0)), 0)</f>
        <v>1.1525814968721322E-2</v>
      </c>
      <c r="G343">
        <f t="shared" si="10"/>
        <v>34252.495575082095</v>
      </c>
      <c r="H343">
        <f>IF(G343="", 0, IF(OR(A343=③資金配分!$D$1, A343=③資金配分!$D$2, B343=③資金配分!$D$1, B343=③資金配分!$D$2, C343=③資金配分!$D$1, C343=③資金配分!$D$2), 0, IF(OR(A343=③資金配分!$D$4, A343=③資金配分!$D$5, A343=③資金配分!$D$6, B343=③資金配分!$D$4, B343=③資金配分!$D$5, B343=③資金配分!$D$6, C343=③資金配分!$D$4, C343=③資金配分!$D$5, C343=③資金配分!$D$6), 0, IF(AND(③資金配分!$B$8&gt;0, G343&lt;=③資金配分!$B$8), 1, 0))))</f>
        <v>0</v>
      </c>
      <c r="I343">
        <f t="shared" si="11"/>
        <v>0</v>
      </c>
      <c r="J343">
        <f>IF(I343&gt;0, ROUND((I343 / SUM($I$2:$I$817)) * ③資金配分!$B$7, -2), 0)</f>
        <v>0</v>
      </c>
    </row>
    <row r="344" spans="1:10" x14ac:dyDescent="0.4">
      <c r="A344">
        <v>3</v>
      </c>
      <c r="B344">
        <v>12</v>
      </c>
      <c r="C344">
        <v>15</v>
      </c>
      <c r="D344">
        <f>IFERROR(IF(_xlfn.XLOOKUP(A344, ①オッズ入力!$A$2:$A$19, ①オッズ入力!$D$2:$D$19, "")="", 0, _xlfn.XLOOKUP(A344, ①オッズ入力!$A$2:$A$19, ①オッズ入力!$D$2:$D$19, 0)), 0)</f>
        <v>0.17014298287160048</v>
      </c>
      <c r="E344">
        <f>IFERROR(IF(_xlfn.XLOOKUP(B344, ①オッズ入力!$A$2:$A$19, ①オッズ入力!$D$2:$D$19, "")="", 0, _xlfn.XLOOKUP(B344, ①オッズ入力!$A$2:$A$19, ①オッズ入力!$D$2:$D$19, 0)), 0)</f>
        <v>1.4887511001265043E-2</v>
      </c>
      <c r="F344">
        <f>IFERROR(IF(_xlfn.XLOOKUP(C344, ①オッズ入力!$A$2:$A$19, ①オッズ入力!$D$2:$D$19, "")="", 0, _xlfn.XLOOKUP(C344, ①オッズ入力!$A$2:$A$19, ①オッズ入力!$D$2:$D$19, 0)), 0)</f>
        <v>1.0697612695519792E-2</v>
      </c>
      <c r="G344">
        <f t="shared" si="10"/>
        <v>36904.301684120706</v>
      </c>
      <c r="H344">
        <f>IF(G344="", 0, IF(OR(A344=③資金配分!$D$1, A344=③資金配分!$D$2, B344=③資金配分!$D$1, B344=③資金配分!$D$2, C344=③資金配分!$D$1, C344=③資金配分!$D$2), 0, IF(OR(A344=③資金配分!$D$4, A344=③資金配分!$D$5, A344=③資金配分!$D$6, B344=③資金配分!$D$4, B344=③資金配分!$D$5, B344=③資金配分!$D$6, C344=③資金配分!$D$4, C344=③資金配分!$D$5, C344=③資金配分!$D$6), 0, IF(AND(③資金配分!$B$8&gt;0, G344&lt;=③資金配分!$B$8), 1, 0))))</f>
        <v>0</v>
      </c>
      <c r="I344">
        <f t="shared" si="11"/>
        <v>0</v>
      </c>
      <c r="J344">
        <f>IF(I344&gt;0, ROUND((I344 / SUM($I$2:$I$817)) * ③資金配分!$B$7, -2), 0)</f>
        <v>0</v>
      </c>
    </row>
    <row r="345" spans="1:10" x14ac:dyDescent="0.4">
      <c r="A345">
        <v>3</v>
      </c>
      <c r="B345">
        <v>12</v>
      </c>
      <c r="C345">
        <v>16</v>
      </c>
      <c r="D345">
        <f>IFERROR(IF(_xlfn.XLOOKUP(A345, ①オッズ入力!$A$2:$A$19, ①オッズ入力!$D$2:$D$19, "")="", 0, _xlfn.XLOOKUP(A345, ①オッズ入力!$A$2:$A$19, ①オッズ入力!$D$2:$D$19, 0)), 0)</f>
        <v>0.17014298287160048</v>
      </c>
      <c r="E345">
        <f>IFERROR(IF(_xlfn.XLOOKUP(B345, ①オッズ入力!$A$2:$A$19, ①オッズ入力!$D$2:$D$19, "")="", 0, _xlfn.XLOOKUP(B345, ①オッズ入力!$A$2:$A$19, ①オッズ入力!$D$2:$D$19, 0)), 0)</f>
        <v>1.4887511001265043E-2</v>
      </c>
      <c r="F345">
        <f>IFERROR(IF(_xlfn.XLOOKUP(C345, ①オッズ入力!$A$2:$A$19, ①オッズ入力!$D$2:$D$19, "")="", 0, _xlfn.XLOOKUP(C345, ①オッズ入力!$A$2:$A$19, ①オッズ入力!$D$2:$D$19, 0)), 0)</f>
        <v>9.8701730395127345E-3</v>
      </c>
      <c r="G345">
        <f t="shared" si="10"/>
        <v>39998.075477999089</v>
      </c>
      <c r="H345">
        <f>IF(G345="", 0, IF(OR(A345=③資金配分!$D$1, A345=③資金配分!$D$2, B345=③資金配分!$D$1, B345=③資金配分!$D$2, C345=③資金配分!$D$1, C345=③資金配分!$D$2), 0, IF(OR(A345=③資金配分!$D$4, A345=③資金配分!$D$5, A345=③資金配分!$D$6, B345=③資金配分!$D$4, B345=③資金配分!$D$5, B345=③資金配分!$D$6, C345=③資金配分!$D$4, C345=③資金配分!$D$5, C345=③資金配分!$D$6), 0, IF(AND(③資金配分!$B$8&gt;0, G345&lt;=③資金配分!$B$8), 1, 0))))</f>
        <v>0</v>
      </c>
      <c r="I345">
        <f t="shared" si="11"/>
        <v>0</v>
      </c>
      <c r="J345">
        <f>IF(I345&gt;0, ROUND((I345 / SUM($I$2:$I$817)) * ③資金配分!$B$7, -2), 0)</f>
        <v>0</v>
      </c>
    </row>
    <row r="346" spans="1:10" x14ac:dyDescent="0.4">
      <c r="A346">
        <v>3</v>
      </c>
      <c r="B346">
        <v>12</v>
      </c>
      <c r="C346">
        <v>17</v>
      </c>
      <c r="D346">
        <f>IFERROR(IF(_xlfn.XLOOKUP(A346, ①オッズ入力!$A$2:$A$19, ①オッズ入力!$D$2:$D$19, "")="", 0, _xlfn.XLOOKUP(A346, ①オッズ入力!$A$2:$A$19, ①オッズ入力!$D$2:$D$19, 0)), 0)</f>
        <v>0.17014298287160048</v>
      </c>
      <c r="E346">
        <f>IFERROR(IF(_xlfn.XLOOKUP(B346, ①オッズ入力!$A$2:$A$19, ①オッズ入力!$D$2:$D$19, "")="", 0, _xlfn.XLOOKUP(B346, ①オッズ入力!$A$2:$A$19, ①オッズ入力!$D$2:$D$19, 0)), 0)</f>
        <v>1.4887511001265043E-2</v>
      </c>
      <c r="F346">
        <f>IFERROR(IF(_xlfn.XLOOKUP(C346, ①オッズ入力!$A$2:$A$19, ①オッズ入力!$D$2:$D$19, "")="", 0, _xlfn.XLOOKUP(C346, ①オッズ入力!$A$2:$A$19, ①オッズ入力!$D$2:$D$19, 0)), 0)</f>
        <v>9.1615452315477186E-3</v>
      </c>
      <c r="G346">
        <f t="shared" si="10"/>
        <v>43091.849271877472</v>
      </c>
      <c r="H346">
        <f>IF(G346="", 0, IF(OR(A346=③資金配分!$D$1, A346=③資金配分!$D$2, B346=③資金配分!$D$1, B346=③資金配分!$D$2, C346=③資金配分!$D$1, C346=③資金配分!$D$2), 0, IF(OR(A346=③資金配分!$D$4, A346=③資金配分!$D$5, A346=③資金配分!$D$6, B346=③資金配分!$D$4, B346=③資金配分!$D$5, B346=③資金配分!$D$6, C346=③資金配分!$D$4, C346=③資金配分!$D$5, C346=③資金配分!$D$6), 0, IF(AND(③資金配分!$B$8&gt;0, G346&lt;=③資金配分!$B$8), 1, 0))))</f>
        <v>0</v>
      </c>
      <c r="I346">
        <f t="shared" si="11"/>
        <v>0</v>
      </c>
      <c r="J346">
        <f>IF(I346&gt;0, ROUND((I346 / SUM($I$2:$I$817)) * ③資金配分!$B$7, -2), 0)</f>
        <v>0</v>
      </c>
    </row>
    <row r="347" spans="1:10" x14ac:dyDescent="0.4">
      <c r="A347">
        <v>3</v>
      </c>
      <c r="B347">
        <v>12</v>
      </c>
      <c r="C347">
        <v>18</v>
      </c>
      <c r="D347">
        <f>IFERROR(IF(_xlfn.XLOOKUP(A347, ①オッズ入力!$A$2:$A$19, ①オッズ入力!$D$2:$D$19, "")="", 0, _xlfn.XLOOKUP(A347, ①オッズ入力!$A$2:$A$19, ①オッズ入力!$D$2:$D$19, 0)), 0)</f>
        <v>0.17014298287160048</v>
      </c>
      <c r="E347">
        <f>IFERROR(IF(_xlfn.XLOOKUP(B347, ①オッズ入力!$A$2:$A$19, ①オッズ入力!$D$2:$D$19, "")="", 0, _xlfn.XLOOKUP(B347, ①オッズ入力!$A$2:$A$19, ①オッズ入力!$D$2:$D$19, 0)), 0)</f>
        <v>1.4887511001265043E-2</v>
      </c>
      <c r="F347">
        <f>IFERROR(IF(_xlfn.XLOOKUP(C347, ①オッズ入力!$A$2:$A$19, ①オッズ入力!$D$2:$D$19, "")="", 0, _xlfn.XLOOKUP(C347, ①オッズ入力!$A$2:$A$19, ①オッズ入力!$D$2:$D$19, 0)), 0)</f>
        <v>8.5478532064679671E-3</v>
      </c>
      <c r="G347">
        <f t="shared" si="10"/>
        <v>46185.623065755855</v>
      </c>
      <c r="H347">
        <f>IF(G347="", 0, IF(OR(A347=③資金配分!$D$1, A347=③資金配分!$D$2, B347=③資金配分!$D$1, B347=③資金配分!$D$2, C347=③資金配分!$D$1, C347=③資金配分!$D$2), 0, IF(OR(A347=③資金配分!$D$4, A347=③資金配分!$D$5, A347=③資金配分!$D$6, B347=③資金配分!$D$4, B347=③資金配分!$D$5, B347=③資金配分!$D$6, C347=③資金配分!$D$4, C347=③資金配分!$D$5, C347=③資金配分!$D$6), 0, IF(AND(③資金配分!$B$8&gt;0, G347&lt;=③資金配分!$B$8), 1, 0))))</f>
        <v>0</v>
      </c>
      <c r="I347">
        <f t="shared" si="11"/>
        <v>0</v>
      </c>
      <c r="J347">
        <f>IF(I347&gt;0, ROUND((I347 / SUM($I$2:$I$817)) * ③資金配分!$B$7, -2), 0)</f>
        <v>0</v>
      </c>
    </row>
    <row r="348" spans="1:10" x14ac:dyDescent="0.4">
      <c r="A348">
        <v>3</v>
      </c>
      <c r="B348">
        <v>13</v>
      </c>
      <c r="C348">
        <v>14</v>
      </c>
      <c r="D348">
        <f>IFERROR(IF(_xlfn.XLOOKUP(A348, ①オッズ入力!$A$2:$A$19, ①オッズ入力!$D$2:$D$19, "")="", 0, _xlfn.XLOOKUP(A348, ①オッズ入力!$A$2:$A$19, ①オッズ入力!$D$2:$D$19, 0)), 0)</f>
        <v>0.17014298287160048</v>
      </c>
      <c r="E348">
        <f>IFERROR(IF(_xlfn.XLOOKUP(B348, ①オッズ入力!$A$2:$A$19, ①オッズ入力!$D$2:$D$19, "")="", 0, _xlfn.XLOOKUP(B348, ①オッズ入力!$A$2:$A$19, ①オッズ入力!$D$2:$D$19, 0)), 0)</f>
        <v>1.2760723715370036E-2</v>
      </c>
      <c r="F348">
        <f>IFERROR(IF(_xlfn.XLOOKUP(C348, ①オッズ入力!$A$2:$A$19, ①オッズ入力!$D$2:$D$19, "")="", 0, _xlfn.XLOOKUP(C348, ①オッズ入力!$A$2:$A$19, ①オッズ入力!$D$2:$D$19, 0)), 0)</f>
        <v>1.1525814968721322E-2</v>
      </c>
      <c r="G348">
        <f t="shared" si="10"/>
        <v>39961.244837595783</v>
      </c>
      <c r="H348">
        <f>IF(G348="", 0, IF(OR(A348=③資金配分!$D$1, A348=③資金配分!$D$2, B348=③資金配分!$D$1, B348=③資金配分!$D$2, C348=③資金配分!$D$1, C348=③資金配分!$D$2), 0, IF(OR(A348=③資金配分!$D$4, A348=③資金配分!$D$5, A348=③資金配分!$D$6, B348=③資金配分!$D$4, B348=③資金配分!$D$5, B348=③資金配分!$D$6, C348=③資金配分!$D$4, C348=③資金配分!$D$5, C348=③資金配分!$D$6), 0, IF(AND(③資金配分!$B$8&gt;0, G348&lt;=③資金配分!$B$8), 1, 0))))</f>
        <v>0</v>
      </c>
      <c r="I348">
        <f t="shared" si="11"/>
        <v>0</v>
      </c>
      <c r="J348">
        <f>IF(I348&gt;0, ROUND((I348 / SUM($I$2:$I$817)) * ③資金配分!$B$7, -2), 0)</f>
        <v>0</v>
      </c>
    </row>
    <row r="349" spans="1:10" x14ac:dyDescent="0.4">
      <c r="A349">
        <v>3</v>
      </c>
      <c r="B349">
        <v>13</v>
      </c>
      <c r="C349">
        <v>15</v>
      </c>
      <c r="D349">
        <f>IFERROR(IF(_xlfn.XLOOKUP(A349, ①オッズ入力!$A$2:$A$19, ①オッズ入力!$D$2:$D$19, "")="", 0, _xlfn.XLOOKUP(A349, ①オッズ入力!$A$2:$A$19, ①オッズ入力!$D$2:$D$19, 0)), 0)</f>
        <v>0.17014298287160048</v>
      </c>
      <c r="E349">
        <f>IFERROR(IF(_xlfn.XLOOKUP(B349, ①オッズ入力!$A$2:$A$19, ①オッズ入力!$D$2:$D$19, "")="", 0, _xlfn.XLOOKUP(B349, ①オッズ入力!$A$2:$A$19, ①オッズ入力!$D$2:$D$19, 0)), 0)</f>
        <v>1.2760723715370036E-2</v>
      </c>
      <c r="F349">
        <f>IFERROR(IF(_xlfn.XLOOKUP(C349, ①オッズ入力!$A$2:$A$19, ①オッズ入力!$D$2:$D$19, "")="", 0, _xlfn.XLOOKUP(C349, ①オッズ入力!$A$2:$A$19, ①オッズ入力!$D$2:$D$19, 0)), 0)</f>
        <v>1.0697612695519792E-2</v>
      </c>
      <c r="G349">
        <f t="shared" si="10"/>
        <v>43055.018631474159</v>
      </c>
      <c r="H349">
        <f>IF(G349="", 0, IF(OR(A349=③資金配分!$D$1, A349=③資金配分!$D$2, B349=③資金配分!$D$1, B349=③資金配分!$D$2, C349=③資金配分!$D$1, C349=③資金配分!$D$2), 0, IF(OR(A349=③資金配分!$D$4, A349=③資金配分!$D$5, A349=③資金配分!$D$6, B349=③資金配分!$D$4, B349=③資金配分!$D$5, B349=③資金配分!$D$6, C349=③資金配分!$D$4, C349=③資金配分!$D$5, C349=③資金配分!$D$6), 0, IF(AND(③資金配分!$B$8&gt;0, G349&lt;=③資金配分!$B$8), 1, 0))))</f>
        <v>0</v>
      </c>
      <c r="I349">
        <f t="shared" si="11"/>
        <v>0</v>
      </c>
      <c r="J349">
        <f>IF(I349&gt;0, ROUND((I349 / SUM($I$2:$I$817)) * ③資金配分!$B$7, -2), 0)</f>
        <v>0</v>
      </c>
    </row>
    <row r="350" spans="1:10" x14ac:dyDescent="0.4">
      <c r="A350">
        <v>3</v>
      </c>
      <c r="B350">
        <v>13</v>
      </c>
      <c r="C350">
        <v>16</v>
      </c>
      <c r="D350">
        <f>IFERROR(IF(_xlfn.XLOOKUP(A350, ①オッズ入力!$A$2:$A$19, ①オッズ入力!$D$2:$D$19, "")="", 0, _xlfn.XLOOKUP(A350, ①オッズ入力!$A$2:$A$19, ①オッズ入力!$D$2:$D$19, 0)), 0)</f>
        <v>0.17014298287160048</v>
      </c>
      <c r="E350">
        <f>IFERROR(IF(_xlfn.XLOOKUP(B350, ①オッズ入力!$A$2:$A$19, ①オッズ入力!$D$2:$D$19, "")="", 0, _xlfn.XLOOKUP(B350, ①オッズ入力!$A$2:$A$19, ①オッズ入力!$D$2:$D$19, 0)), 0)</f>
        <v>1.2760723715370036E-2</v>
      </c>
      <c r="F350">
        <f>IFERROR(IF(_xlfn.XLOOKUP(C350, ①オッズ入力!$A$2:$A$19, ①オッズ入力!$D$2:$D$19, "")="", 0, _xlfn.XLOOKUP(C350, ①オッズ入力!$A$2:$A$19, ①オッズ入力!$D$2:$D$19, 0)), 0)</f>
        <v>9.8701730395127345E-3</v>
      </c>
      <c r="G350">
        <f t="shared" si="10"/>
        <v>46664.421390998948</v>
      </c>
      <c r="H350">
        <f>IF(G350="", 0, IF(OR(A350=③資金配分!$D$1, A350=③資金配分!$D$2, B350=③資金配分!$D$1, B350=③資金配分!$D$2, C350=③資金配分!$D$1, C350=③資金配分!$D$2), 0, IF(OR(A350=③資金配分!$D$4, A350=③資金配分!$D$5, A350=③資金配分!$D$6, B350=③資金配分!$D$4, B350=③資金配分!$D$5, B350=③資金配分!$D$6, C350=③資金配分!$D$4, C350=③資金配分!$D$5, C350=③資金配分!$D$6), 0, IF(AND(③資金配分!$B$8&gt;0, G350&lt;=③資金配分!$B$8), 1, 0))))</f>
        <v>0</v>
      </c>
      <c r="I350">
        <f t="shared" si="11"/>
        <v>0</v>
      </c>
      <c r="J350">
        <f>IF(I350&gt;0, ROUND((I350 / SUM($I$2:$I$817)) * ③資金配分!$B$7, -2), 0)</f>
        <v>0</v>
      </c>
    </row>
    <row r="351" spans="1:10" x14ac:dyDescent="0.4">
      <c r="A351">
        <v>3</v>
      </c>
      <c r="B351">
        <v>13</v>
      </c>
      <c r="C351">
        <v>17</v>
      </c>
      <c r="D351">
        <f>IFERROR(IF(_xlfn.XLOOKUP(A351, ①オッズ入力!$A$2:$A$19, ①オッズ入力!$D$2:$D$19, "")="", 0, _xlfn.XLOOKUP(A351, ①オッズ入力!$A$2:$A$19, ①オッズ入力!$D$2:$D$19, 0)), 0)</f>
        <v>0.17014298287160048</v>
      </c>
      <c r="E351">
        <f>IFERROR(IF(_xlfn.XLOOKUP(B351, ①オッズ入力!$A$2:$A$19, ①オッズ入力!$D$2:$D$19, "")="", 0, _xlfn.XLOOKUP(B351, ①オッズ入力!$A$2:$A$19, ①オッズ入力!$D$2:$D$19, 0)), 0)</f>
        <v>1.2760723715370036E-2</v>
      </c>
      <c r="F351">
        <f>IFERROR(IF(_xlfn.XLOOKUP(C351, ①オッズ入力!$A$2:$A$19, ①オッズ入力!$D$2:$D$19, "")="", 0, _xlfn.XLOOKUP(C351, ①オッズ入力!$A$2:$A$19, ①オッズ入力!$D$2:$D$19, 0)), 0)</f>
        <v>9.1615452315477186E-3</v>
      </c>
      <c r="G351">
        <f t="shared" si="10"/>
        <v>50273.824150523731</v>
      </c>
      <c r="H351">
        <f>IF(G351="", 0, IF(OR(A351=③資金配分!$D$1, A351=③資金配分!$D$2, B351=③資金配分!$D$1, B351=③資金配分!$D$2, C351=③資金配分!$D$1, C351=③資金配分!$D$2), 0, IF(OR(A351=③資金配分!$D$4, A351=③資金配分!$D$5, A351=③資金配分!$D$6, B351=③資金配分!$D$4, B351=③資金配分!$D$5, B351=③資金配分!$D$6, C351=③資金配分!$D$4, C351=③資金配分!$D$5, C351=③資金配分!$D$6), 0, IF(AND(③資金配分!$B$8&gt;0, G351&lt;=③資金配分!$B$8), 1, 0))))</f>
        <v>0</v>
      </c>
      <c r="I351">
        <f t="shared" si="11"/>
        <v>0</v>
      </c>
      <c r="J351">
        <f>IF(I351&gt;0, ROUND((I351 / SUM($I$2:$I$817)) * ③資金配分!$B$7, -2), 0)</f>
        <v>0</v>
      </c>
    </row>
    <row r="352" spans="1:10" x14ac:dyDescent="0.4">
      <c r="A352">
        <v>3</v>
      </c>
      <c r="B352">
        <v>13</v>
      </c>
      <c r="C352">
        <v>18</v>
      </c>
      <c r="D352">
        <f>IFERROR(IF(_xlfn.XLOOKUP(A352, ①オッズ入力!$A$2:$A$19, ①オッズ入力!$D$2:$D$19, "")="", 0, _xlfn.XLOOKUP(A352, ①オッズ入力!$A$2:$A$19, ①オッズ入力!$D$2:$D$19, 0)), 0)</f>
        <v>0.17014298287160048</v>
      </c>
      <c r="E352">
        <f>IFERROR(IF(_xlfn.XLOOKUP(B352, ①オッズ入力!$A$2:$A$19, ①オッズ入力!$D$2:$D$19, "")="", 0, _xlfn.XLOOKUP(B352, ①オッズ入力!$A$2:$A$19, ①オッズ入力!$D$2:$D$19, 0)), 0)</f>
        <v>1.2760723715370036E-2</v>
      </c>
      <c r="F352">
        <f>IFERROR(IF(_xlfn.XLOOKUP(C352, ①オッズ入力!$A$2:$A$19, ①オッズ入力!$D$2:$D$19, "")="", 0, _xlfn.XLOOKUP(C352, ①オッズ入力!$A$2:$A$19, ①オッズ入力!$D$2:$D$19, 0)), 0)</f>
        <v>8.5478532064679671E-3</v>
      </c>
      <c r="G352">
        <f t="shared" si="10"/>
        <v>53883.226910048506</v>
      </c>
      <c r="H352">
        <f>IF(G352="", 0, IF(OR(A352=③資金配分!$D$1, A352=③資金配分!$D$2, B352=③資金配分!$D$1, B352=③資金配分!$D$2, C352=③資金配分!$D$1, C352=③資金配分!$D$2), 0, IF(OR(A352=③資金配分!$D$4, A352=③資金配分!$D$5, A352=③資金配分!$D$6, B352=③資金配分!$D$4, B352=③資金配分!$D$5, B352=③資金配分!$D$6, C352=③資金配分!$D$4, C352=③資金配分!$D$5, C352=③資金配分!$D$6), 0, IF(AND(③資金配分!$B$8&gt;0, G352&lt;=③資金配分!$B$8), 1, 0))))</f>
        <v>0</v>
      </c>
      <c r="I352">
        <f t="shared" si="11"/>
        <v>0</v>
      </c>
      <c r="J352">
        <f>IF(I352&gt;0, ROUND((I352 / SUM($I$2:$I$817)) * ③資金配分!$B$7, -2), 0)</f>
        <v>0</v>
      </c>
    </row>
    <row r="353" spans="1:10" x14ac:dyDescent="0.4">
      <c r="A353">
        <v>3</v>
      </c>
      <c r="B353">
        <v>14</v>
      </c>
      <c r="C353">
        <v>15</v>
      </c>
      <c r="D353">
        <f>IFERROR(IF(_xlfn.XLOOKUP(A353, ①オッズ入力!$A$2:$A$19, ①オッズ入力!$D$2:$D$19, "")="", 0, _xlfn.XLOOKUP(A353, ①オッズ入力!$A$2:$A$19, ①オッズ入力!$D$2:$D$19, 0)), 0)</f>
        <v>0.17014298287160048</v>
      </c>
      <c r="E353">
        <f>IFERROR(IF(_xlfn.XLOOKUP(B353, ①オッズ入力!$A$2:$A$19, ①オッズ入力!$D$2:$D$19, "")="", 0, _xlfn.XLOOKUP(B353, ①オッズ入力!$A$2:$A$19, ①オッズ入力!$D$2:$D$19, 0)), 0)</f>
        <v>1.1525814968721322E-2</v>
      </c>
      <c r="F353">
        <f>IFERROR(IF(_xlfn.XLOOKUP(C353, ①オッズ入力!$A$2:$A$19, ①オッズ入力!$D$2:$D$19, "")="", 0, _xlfn.XLOOKUP(C353, ①オッズ入力!$A$2:$A$19, ①オッズ入力!$D$2:$D$19, 0)), 0)</f>
        <v>1.0697612695519792E-2</v>
      </c>
      <c r="G353">
        <f t="shared" si="10"/>
        <v>47668.05634198925</v>
      </c>
      <c r="H353">
        <f>IF(G353="", 0, IF(OR(A353=③資金配分!$D$1, A353=③資金配分!$D$2, B353=③資金配分!$D$1, B353=③資金配分!$D$2, C353=③資金配分!$D$1, C353=③資金配分!$D$2), 0, IF(OR(A353=③資金配分!$D$4, A353=③資金配分!$D$5, A353=③資金配分!$D$6, B353=③資金配分!$D$4, B353=③資金配分!$D$5, B353=③資金配分!$D$6, C353=③資金配分!$D$4, C353=③資金配分!$D$5, C353=③資金配分!$D$6), 0, IF(AND(③資金配分!$B$8&gt;0, G353&lt;=③資金配分!$B$8), 1, 0))))</f>
        <v>0</v>
      </c>
      <c r="I353">
        <f t="shared" si="11"/>
        <v>0</v>
      </c>
      <c r="J353">
        <f>IF(I353&gt;0, ROUND((I353 / SUM($I$2:$I$817)) * ③資金配分!$B$7, -2), 0)</f>
        <v>0</v>
      </c>
    </row>
    <row r="354" spans="1:10" x14ac:dyDescent="0.4">
      <c r="A354">
        <v>3</v>
      </c>
      <c r="B354">
        <v>14</v>
      </c>
      <c r="C354">
        <v>16</v>
      </c>
      <c r="D354">
        <f>IFERROR(IF(_xlfn.XLOOKUP(A354, ①オッズ入力!$A$2:$A$19, ①オッズ入力!$D$2:$D$19, "")="", 0, _xlfn.XLOOKUP(A354, ①オッズ入力!$A$2:$A$19, ①オッズ入力!$D$2:$D$19, 0)), 0)</f>
        <v>0.17014298287160048</v>
      </c>
      <c r="E354">
        <f>IFERROR(IF(_xlfn.XLOOKUP(B354, ①オッズ入力!$A$2:$A$19, ①オッズ入力!$D$2:$D$19, "")="", 0, _xlfn.XLOOKUP(B354, ①オッズ入力!$A$2:$A$19, ①オッズ入力!$D$2:$D$19, 0)), 0)</f>
        <v>1.1525814968721322E-2</v>
      </c>
      <c r="F354">
        <f>IFERROR(IF(_xlfn.XLOOKUP(C354, ①オッズ入力!$A$2:$A$19, ①オッズ入力!$D$2:$D$19, "")="", 0, _xlfn.XLOOKUP(C354, ①オッズ入力!$A$2:$A$19, ①オッズ入力!$D$2:$D$19, 0)), 0)</f>
        <v>9.8701730395127345E-3</v>
      </c>
      <c r="G354">
        <f t="shared" si="10"/>
        <v>51664.18082574883</v>
      </c>
      <c r="H354">
        <f>IF(G354="", 0, IF(OR(A354=③資金配分!$D$1, A354=③資金配分!$D$2, B354=③資金配分!$D$1, B354=③資金配分!$D$2, C354=③資金配分!$D$1, C354=③資金配分!$D$2), 0, IF(OR(A354=③資金配分!$D$4, A354=③資金配分!$D$5, A354=③資金配分!$D$6, B354=③資金配分!$D$4, B354=③資金配分!$D$5, B354=③資金配分!$D$6, C354=③資金配分!$D$4, C354=③資金配分!$D$5, C354=③資金配分!$D$6), 0, IF(AND(③資金配分!$B$8&gt;0, G354&lt;=③資金配分!$B$8), 1, 0))))</f>
        <v>0</v>
      </c>
      <c r="I354">
        <f t="shared" si="11"/>
        <v>0</v>
      </c>
      <c r="J354">
        <f>IF(I354&gt;0, ROUND((I354 / SUM($I$2:$I$817)) * ③資金配分!$B$7, -2), 0)</f>
        <v>0</v>
      </c>
    </row>
    <row r="355" spans="1:10" x14ac:dyDescent="0.4">
      <c r="A355">
        <v>3</v>
      </c>
      <c r="B355">
        <v>14</v>
      </c>
      <c r="C355">
        <v>17</v>
      </c>
      <c r="D355">
        <f>IFERROR(IF(_xlfn.XLOOKUP(A355, ①オッズ入力!$A$2:$A$19, ①オッズ入力!$D$2:$D$19, "")="", 0, _xlfn.XLOOKUP(A355, ①オッズ入力!$A$2:$A$19, ①オッズ入力!$D$2:$D$19, 0)), 0)</f>
        <v>0.17014298287160048</v>
      </c>
      <c r="E355">
        <f>IFERROR(IF(_xlfn.XLOOKUP(B355, ①オッズ入力!$A$2:$A$19, ①オッズ入力!$D$2:$D$19, "")="", 0, _xlfn.XLOOKUP(B355, ①オッズ入力!$A$2:$A$19, ①オッズ入力!$D$2:$D$19, 0)), 0)</f>
        <v>1.1525814968721322E-2</v>
      </c>
      <c r="F355">
        <f>IFERROR(IF(_xlfn.XLOOKUP(C355, ①オッズ入力!$A$2:$A$19, ①オッズ入力!$D$2:$D$19, "")="", 0, _xlfn.XLOOKUP(C355, ①オッズ入力!$A$2:$A$19, ①オッズ入力!$D$2:$D$19, 0)), 0)</f>
        <v>9.1615452315477186E-3</v>
      </c>
      <c r="G355">
        <f t="shared" si="10"/>
        <v>55660.305309508396</v>
      </c>
      <c r="H355">
        <f>IF(G355="", 0, IF(OR(A355=③資金配分!$D$1, A355=③資金配分!$D$2, B355=③資金配分!$D$1, B355=③資金配分!$D$2, C355=③資金配分!$D$1, C355=③資金配分!$D$2), 0, IF(OR(A355=③資金配分!$D$4, A355=③資金配分!$D$5, A355=③資金配分!$D$6, B355=③資金配分!$D$4, B355=③資金配分!$D$5, B355=③資金配分!$D$6, C355=③資金配分!$D$4, C355=③資金配分!$D$5, C355=③資金配分!$D$6), 0, IF(AND(③資金配分!$B$8&gt;0, G355&lt;=③資金配分!$B$8), 1, 0))))</f>
        <v>0</v>
      </c>
      <c r="I355">
        <f t="shared" si="11"/>
        <v>0</v>
      </c>
      <c r="J355">
        <f>IF(I355&gt;0, ROUND((I355 / SUM($I$2:$I$817)) * ③資金配分!$B$7, -2), 0)</f>
        <v>0</v>
      </c>
    </row>
    <row r="356" spans="1:10" x14ac:dyDescent="0.4">
      <c r="A356">
        <v>3</v>
      </c>
      <c r="B356">
        <v>14</v>
      </c>
      <c r="C356">
        <v>18</v>
      </c>
      <c r="D356">
        <f>IFERROR(IF(_xlfn.XLOOKUP(A356, ①オッズ入力!$A$2:$A$19, ①オッズ入力!$D$2:$D$19, "")="", 0, _xlfn.XLOOKUP(A356, ①オッズ入力!$A$2:$A$19, ①オッズ入力!$D$2:$D$19, 0)), 0)</f>
        <v>0.17014298287160048</v>
      </c>
      <c r="E356">
        <f>IFERROR(IF(_xlfn.XLOOKUP(B356, ①オッズ入力!$A$2:$A$19, ①オッズ入力!$D$2:$D$19, "")="", 0, _xlfn.XLOOKUP(B356, ①オッズ入力!$A$2:$A$19, ①オッズ入力!$D$2:$D$19, 0)), 0)</f>
        <v>1.1525814968721322E-2</v>
      </c>
      <c r="F356">
        <f>IFERROR(IF(_xlfn.XLOOKUP(C356, ①オッズ入力!$A$2:$A$19, ①オッズ入力!$D$2:$D$19, "")="", 0, _xlfn.XLOOKUP(C356, ①オッズ入力!$A$2:$A$19, ①オッズ入力!$D$2:$D$19, 0)), 0)</f>
        <v>8.5478532064679671E-3</v>
      </c>
      <c r="G356">
        <f t="shared" si="10"/>
        <v>59656.429793267984</v>
      </c>
      <c r="H356">
        <f>IF(G356="", 0, IF(OR(A356=③資金配分!$D$1, A356=③資金配分!$D$2, B356=③資金配分!$D$1, B356=③資金配分!$D$2, C356=③資金配分!$D$1, C356=③資金配分!$D$2), 0, IF(OR(A356=③資金配分!$D$4, A356=③資金配分!$D$5, A356=③資金配分!$D$6, B356=③資金配分!$D$4, B356=③資金配分!$D$5, B356=③資金配分!$D$6, C356=③資金配分!$D$4, C356=③資金配分!$D$5, C356=③資金配分!$D$6), 0, IF(AND(③資金配分!$B$8&gt;0, G356&lt;=③資金配分!$B$8), 1, 0))))</f>
        <v>0</v>
      </c>
      <c r="I356">
        <f t="shared" si="11"/>
        <v>0</v>
      </c>
      <c r="J356">
        <f>IF(I356&gt;0, ROUND((I356 / SUM($I$2:$I$817)) * ③資金配分!$B$7, -2), 0)</f>
        <v>0</v>
      </c>
    </row>
    <row r="357" spans="1:10" x14ac:dyDescent="0.4">
      <c r="A357">
        <v>3</v>
      </c>
      <c r="B357">
        <v>15</v>
      </c>
      <c r="C357">
        <v>16</v>
      </c>
      <c r="D357">
        <f>IFERROR(IF(_xlfn.XLOOKUP(A357, ①オッズ入力!$A$2:$A$19, ①オッズ入力!$D$2:$D$19, "")="", 0, _xlfn.XLOOKUP(A357, ①オッズ入力!$A$2:$A$19, ①オッズ入力!$D$2:$D$19, 0)), 0)</f>
        <v>0.17014298287160048</v>
      </c>
      <c r="E357">
        <f>IFERROR(IF(_xlfn.XLOOKUP(B357, ①オッズ入力!$A$2:$A$19, ①オッズ入力!$D$2:$D$19, "")="", 0, _xlfn.XLOOKUP(B357, ①オッズ入力!$A$2:$A$19, ①オッズ入力!$D$2:$D$19, 0)), 0)</f>
        <v>1.0697612695519792E-2</v>
      </c>
      <c r="F357">
        <f>IFERROR(IF(_xlfn.XLOOKUP(C357, ①オッズ入力!$A$2:$A$19, ①オッズ入力!$D$2:$D$19, "")="", 0, _xlfn.XLOOKUP(C357, ①オッズ入力!$A$2:$A$19, ①オッズ入力!$D$2:$D$19, 0)), 0)</f>
        <v>9.8701730395127345E-3</v>
      </c>
      <c r="G357">
        <f t="shared" si="10"/>
        <v>55663.988373548738</v>
      </c>
      <c r="H357">
        <f>IF(G357="", 0, IF(OR(A357=③資金配分!$D$1, A357=③資金配分!$D$2, B357=③資金配分!$D$1, B357=③資金配分!$D$2, C357=③資金配分!$D$1, C357=③資金配分!$D$2), 0, IF(OR(A357=③資金配分!$D$4, A357=③資金配分!$D$5, A357=③資金配分!$D$6, B357=③資金配分!$D$4, B357=③資金配分!$D$5, B357=③資金配分!$D$6, C357=③資金配分!$D$4, C357=③資金配分!$D$5, C357=③資金配分!$D$6), 0, IF(AND(③資金配分!$B$8&gt;0, G357&lt;=③資金配分!$B$8), 1, 0))))</f>
        <v>0</v>
      </c>
      <c r="I357">
        <f t="shared" si="11"/>
        <v>0</v>
      </c>
      <c r="J357">
        <f>IF(I357&gt;0, ROUND((I357 / SUM($I$2:$I$817)) * ③資金配分!$B$7, -2), 0)</f>
        <v>0</v>
      </c>
    </row>
    <row r="358" spans="1:10" x14ac:dyDescent="0.4">
      <c r="A358">
        <v>3</v>
      </c>
      <c r="B358">
        <v>15</v>
      </c>
      <c r="C358">
        <v>17</v>
      </c>
      <c r="D358">
        <f>IFERROR(IF(_xlfn.XLOOKUP(A358, ①オッズ入力!$A$2:$A$19, ①オッズ入力!$D$2:$D$19, "")="", 0, _xlfn.XLOOKUP(A358, ①オッズ入力!$A$2:$A$19, ①オッズ入力!$D$2:$D$19, 0)), 0)</f>
        <v>0.17014298287160048</v>
      </c>
      <c r="E358">
        <f>IFERROR(IF(_xlfn.XLOOKUP(B358, ①オッズ入力!$A$2:$A$19, ①オッズ入力!$D$2:$D$19, "")="", 0, _xlfn.XLOOKUP(B358, ①オッズ入力!$A$2:$A$19, ①オッズ入力!$D$2:$D$19, 0)), 0)</f>
        <v>1.0697612695519792E-2</v>
      </c>
      <c r="F358">
        <f>IFERROR(IF(_xlfn.XLOOKUP(C358, ①オッズ入力!$A$2:$A$19, ①オッズ入力!$D$2:$D$19, "")="", 0, _xlfn.XLOOKUP(C358, ①オッズ入力!$A$2:$A$19, ①オッズ入力!$D$2:$D$19, 0)), 0)</f>
        <v>9.1615452315477186E-3</v>
      </c>
      <c r="G358">
        <f t="shared" si="10"/>
        <v>59969.490236696147</v>
      </c>
      <c r="H358">
        <f>IF(G358="", 0, IF(OR(A358=③資金配分!$D$1, A358=③資金配分!$D$2, B358=③資金配分!$D$1, B358=③資金配分!$D$2, C358=③資金配分!$D$1, C358=③資金配分!$D$2), 0, IF(OR(A358=③資金配分!$D$4, A358=③資金配分!$D$5, A358=③資金配分!$D$6, B358=③資金配分!$D$4, B358=③資金配分!$D$5, B358=③資金配分!$D$6, C358=③資金配分!$D$4, C358=③資金配分!$D$5, C358=③資金配分!$D$6), 0, IF(AND(③資金配分!$B$8&gt;0, G358&lt;=③資金配分!$B$8), 1, 0))))</f>
        <v>0</v>
      </c>
      <c r="I358">
        <f t="shared" si="11"/>
        <v>0</v>
      </c>
      <c r="J358">
        <f>IF(I358&gt;0, ROUND((I358 / SUM($I$2:$I$817)) * ③資金配分!$B$7, -2), 0)</f>
        <v>0</v>
      </c>
    </row>
    <row r="359" spans="1:10" x14ac:dyDescent="0.4">
      <c r="A359">
        <v>3</v>
      </c>
      <c r="B359">
        <v>15</v>
      </c>
      <c r="C359">
        <v>18</v>
      </c>
      <c r="D359">
        <f>IFERROR(IF(_xlfn.XLOOKUP(A359, ①オッズ入力!$A$2:$A$19, ①オッズ入力!$D$2:$D$19, "")="", 0, _xlfn.XLOOKUP(A359, ①オッズ入力!$A$2:$A$19, ①オッズ入力!$D$2:$D$19, 0)), 0)</f>
        <v>0.17014298287160048</v>
      </c>
      <c r="E359">
        <f>IFERROR(IF(_xlfn.XLOOKUP(B359, ①オッズ入力!$A$2:$A$19, ①オッズ入力!$D$2:$D$19, "")="", 0, _xlfn.XLOOKUP(B359, ①オッズ入力!$A$2:$A$19, ①オッズ入力!$D$2:$D$19, 0)), 0)</f>
        <v>1.0697612695519792E-2</v>
      </c>
      <c r="F359">
        <f>IFERROR(IF(_xlfn.XLOOKUP(C359, ①オッズ入力!$A$2:$A$19, ①オッズ入力!$D$2:$D$19, "")="", 0, _xlfn.XLOOKUP(C359, ①オッズ入力!$A$2:$A$19, ①オッズ入力!$D$2:$D$19, 0)), 0)</f>
        <v>8.5478532064679671E-3</v>
      </c>
      <c r="G359">
        <f t="shared" si="10"/>
        <v>64274.99209984357</v>
      </c>
      <c r="H359">
        <f>IF(G359="", 0, IF(OR(A359=③資金配分!$D$1, A359=③資金配分!$D$2, B359=③資金配分!$D$1, B359=③資金配分!$D$2, C359=③資金配分!$D$1, C359=③資金配分!$D$2), 0, IF(OR(A359=③資金配分!$D$4, A359=③資金配分!$D$5, A359=③資金配分!$D$6, B359=③資金配分!$D$4, B359=③資金配分!$D$5, B359=③資金配分!$D$6, C359=③資金配分!$D$4, C359=③資金配分!$D$5, C359=③資金配分!$D$6), 0, IF(AND(③資金配分!$B$8&gt;0, G359&lt;=③資金配分!$B$8), 1, 0))))</f>
        <v>0</v>
      </c>
      <c r="I359">
        <f t="shared" si="11"/>
        <v>0</v>
      </c>
      <c r="J359">
        <f>IF(I359&gt;0, ROUND((I359 / SUM($I$2:$I$817)) * ③資金配分!$B$7, -2), 0)</f>
        <v>0</v>
      </c>
    </row>
    <row r="360" spans="1:10" x14ac:dyDescent="0.4">
      <c r="A360">
        <v>3</v>
      </c>
      <c r="B360">
        <v>16</v>
      </c>
      <c r="C360">
        <v>17</v>
      </c>
      <c r="D360">
        <f>IFERROR(IF(_xlfn.XLOOKUP(A360, ①オッズ入力!$A$2:$A$19, ①オッズ入力!$D$2:$D$19, "")="", 0, _xlfn.XLOOKUP(A360, ①オッズ入力!$A$2:$A$19, ①オッズ入力!$D$2:$D$19, 0)), 0)</f>
        <v>0.17014298287160048</v>
      </c>
      <c r="E360">
        <f>IFERROR(IF(_xlfn.XLOOKUP(B360, ①オッズ入力!$A$2:$A$19, ①オッズ入力!$D$2:$D$19, "")="", 0, _xlfn.XLOOKUP(B360, ①オッズ入力!$A$2:$A$19, ①オッズ入力!$D$2:$D$19, 0)), 0)</f>
        <v>9.8701730395127345E-3</v>
      </c>
      <c r="F360">
        <f>IFERROR(IF(_xlfn.XLOOKUP(C360, ①オッズ入力!$A$2:$A$19, ①オッズ入力!$D$2:$D$19, "")="", 0, _xlfn.XLOOKUP(C360, ①オッズ入力!$A$2:$A$19, ①オッズ入力!$D$2:$D$19, 0)), 0)</f>
        <v>9.1615452315477186E-3</v>
      </c>
      <c r="G360">
        <f t="shared" si="10"/>
        <v>64996.872651748519</v>
      </c>
      <c r="H360">
        <f>IF(G360="", 0, IF(OR(A360=③資金配分!$D$1, A360=③資金配分!$D$2, B360=③資金配分!$D$1, B360=③資金配分!$D$2, C360=③資金配分!$D$1, C360=③資金配分!$D$2), 0, IF(OR(A360=③資金配分!$D$4, A360=③資金配分!$D$5, A360=③資金配分!$D$6, B360=③資金配分!$D$4, B360=③資金配分!$D$5, B360=③資金配分!$D$6, C360=③資金配分!$D$4, C360=③資金配分!$D$5, C360=③資金配分!$D$6), 0, IF(AND(③資金配分!$B$8&gt;0, G360&lt;=③資金配分!$B$8), 1, 0))))</f>
        <v>0</v>
      </c>
      <c r="I360">
        <f t="shared" si="11"/>
        <v>0</v>
      </c>
      <c r="J360">
        <f>IF(I360&gt;0, ROUND((I360 / SUM($I$2:$I$817)) * ③資金配分!$B$7, -2), 0)</f>
        <v>0</v>
      </c>
    </row>
    <row r="361" spans="1:10" x14ac:dyDescent="0.4">
      <c r="A361">
        <v>3</v>
      </c>
      <c r="B361">
        <v>16</v>
      </c>
      <c r="C361">
        <v>18</v>
      </c>
      <c r="D361">
        <f>IFERROR(IF(_xlfn.XLOOKUP(A361, ①オッズ入力!$A$2:$A$19, ①オッズ入力!$D$2:$D$19, "")="", 0, _xlfn.XLOOKUP(A361, ①オッズ入力!$A$2:$A$19, ①オッズ入力!$D$2:$D$19, 0)), 0)</f>
        <v>0.17014298287160048</v>
      </c>
      <c r="E361">
        <f>IFERROR(IF(_xlfn.XLOOKUP(B361, ①オッズ入力!$A$2:$A$19, ①オッズ入力!$D$2:$D$19, "")="", 0, _xlfn.XLOOKUP(B361, ①オッズ入力!$A$2:$A$19, ①オッズ入力!$D$2:$D$19, 0)), 0)</f>
        <v>9.8701730395127345E-3</v>
      </c>
      <c r="F361">
        <f>IFERROR(IF(_xlfn.XLOOKUP(C361, ①オッズ入力!$A$2:$A$19, ①オッズ入力!$D$2:$D$19, "")="", 0, _xlfn.XLOOKUP(C361, ①オッズ入力!$A$2:$A$19, ①オッズ入力!$D$2:$D$19, 0)), 0)</f>
        <v>8.5478532064679671E-3</v>
      </c>
      <c r="G361">
        <f t="shared" si="10"/>
        <v>69663.314790848424</v>
      </c>
      <c r="H361">
        <f>IF(G361="", 0, IF(OR(A361=③資金配分!$D$1, A361=③資金配分!$D$2, B361=③資金配分!$D$1, B361=③資金配分!$D$2, C361=③資金配分!$D$1, C361=③資金配分!$D$2), 0, IF(OR(A361=③資金配分!$D$4, A361=③資金配分!$D$5, A361=③資金配分!$D$6, B361=③資金配分!$D$4, B361=③資金配分!$D$5, B361=③資金配分!$D$6, C361=③資金配分!$D$4, C361=③資金配分!$D$5, C361=③資金配分!$D$6), 0, IF(AND(③資金配分!$B$8&gt;0, G361&lt;=③資金配分!$B$8), 1, 0))))</f>
        <v>0</v>
      </c>
      <c r="I361">
        <f t="shared" si="11"/>
        <v>0</v>
      </c>
      <c r="J361">
        <f>IF(I361&gt;0, ROUND((I361 / SUM($I$2:$I$817)) * ③資金配分!$B$7, -2), 0)</f>
        <v>0</v>
      </c>
    </row>
    <row r="362" spans="1:10" x14ac:dyDescent="0.4">
      <c r="A362">
        <v>3</v>
      </c>
      <c r="B362">
        <v>17</v>
      </c>
      <c r="C362">
        <v>18</v>
      </c>
      <c r="D362">
        <f>IFERROR(IF(_xlfn.XLOOKUP(A362, ①オッズ入力!$A$2:$A$19, ①オッズ入力!$D$2:$D$19, "")="", 0, _xlfn.XLOOKUP(A362, ①オッズ入力!$A$2:$A$19, ①オッズ入力!$D$2:$D$19, 0)), 0)</f>
        <v>0.17014298287160048</v>
      </c>
      <c r="E362">
        <f>IFERROR(IF(_xlfn.XLOOKUP(B362, ①オッズ入力!$A$2:$A$19, ①オッズ入力!$D$2:$D$19, "")="", 0, _xlfn.XLOOKUP(B362, ①オッズ入力!$A$2:$A$19, ①オッズ入力!$D$2:$D$19, 0)), 0)</f>
        <v>9.1615452315477186E-3</v>
      </c>
      <c r="F362">
        <f>IFERROR(IF(_xlfn.XLOOKUP(C362, ①オッズ入力!$A$2:$A$19, ①オッズ入力!$D$2:$D$19, "")="", 0, _xlfn.XLOOKUP(C362, ①オッズ入力!$A$2:$A$19, ①オッズ入力!$D$2:$D$19, 0)), 0)</f>
        <v>8.5478532064679671E-3</v>
      </c>
      <c r="G362">
        <f t="shared" si="10"/>
        <v>75051.637481853264</v>
      </c>
      <c r="H362">
        <f>IF(G362="", 0, IF(OR(A362=③資金配分!$D$1, A362=③資金配分!$D$2, B362=③資金配分!$D$1, B362=③資金配分!$D$2, C362=③資金配分!$D$1, C362=③資金配分!$D$2), 0, IF(OR(A362=③資金配分!$D$4, A362=③資金配分!$D$5, A362=③資金配分!$D$6, B362=③資金配分!$D$4, B362=③資金配分!$D$5, B362=③資金配分!$D$6, C362=③資金配分!$D$4, C362=③資金配分!$D$5, C362=③資金配分!$D$6), 0, IF(AND(③資金配分!$B$8&gt;0, G362&lt;=③資金配分!$B$8), 1, 0))))</f>
        <v>0</v>
      </c>
      <c r="I362">
        <f t="shared" si="11"/>
        <v>0</v>
      </c>
      <c r="J362">
        <f>IF(I362&gt;0, ROUND((I362 / SUM($I$2:$I$817)) * ③資金配分!$B$7, -2), 0)</f>
        <v>0</v>
      </c>
    </row>
    <row r="363" spans="1:10" x14ac:dyDescent="0.4">
      <c r="A363">
        <v>4</v>
      </c>
      <c r="B363">
        <v>5</v>
      </c>
      <c r="C363">
        <v>6</v>
      </c>
      <c r="D363">
        <f>IFERROR(IF(_xlfn.XLOOKUP(A363, ①オッズ入力!$A$2:$A$19, ①オッズ入力!$D$2:$D$19, "")="", 0, _xlfn.XLOOKUP(A363, ①オッズ入力!$A$2:$A$19, ①オッズ入力!$D$2:$D$19, 0)), 0)</f>
        <v>7.1460052806072205E-2</v>
      </c>
      <c r="E363">
        <f>IFERROR(IF(_xlfn.XLOOKUP(B363, ①オッズ入力!$A$2:$A$19, ①オッズ入力!$D$2:$D$19, "")="", 0, _xlfn.XLOOKUP(B363, ①オッズ入力!$A$2:$A$19, ①オッズ入力!$D$2:$D$19, 0)), 0)</f>
        <v>4.4662533003795128E-2</v>
      </c>
      <c r="F363">
        <f>IFERROR(IF(_xlfn.XLOOKUP(C363, ①オッズ入力!$A$2:$A$19, ①オッズ入力!$D$2:$D$19, "")="", 0, _xlfn.XLOOKUP(C363, ①オッズ入力!$A$2:$A$19, ①オッズ入力!$D$2:$D$19, 0)), 0)</f>
        <v>3.2481842184578273E-2</v>
      </c>
      <c r="G363">
        <f t="shared" si="10"/>
        <v>9646.1201056298778</v>
      </c>
      <c r="H363">
        <f>IF(G363="", 0, IF(OR(A363=③資金配分!$D$1, A363=③資金配分!$D$2, B363=③資金配分!$D$1, B363=③資金配分!$D$2, C363=③資金配分!$D$1, C363=③資金配分!$D$2), 0, IF(OR(A363=③資金配分!$D$4, A363=③資金配分!$D$5, A363=③資金配分!$D$6, B363=③資金配分!$D$4, B363=③資金配分!$D$5, B363=③資金配分!$D$6, C363=③資金配分!$D$4, C363=③資金配分!$D$5, C363=③資金配分!$D$6), 0, IF(AND(③資金配分!$B$8&gt;0, G363&lt;=③資金配分!$B$8), 1, 0))))</f>
        <v>0</v>
      </c>
      <c r="I363">
        <f t="shared" si="11"/>
        <v>0</v>
      </c>
      <c r="J363">
        <f>IF(I363&gt;0, ROUND((I363 / SUM($I$2:$I$817)) * ③資金配分!$B$7, -2), 0)</f>
        <v>0</v>
      </c>
    </row>
    <row r="364" spans="1:10" x14ac:dyDescent="0.4">
      <c r="A364">
        <v>4</v>
      </c>
      <c r="B364">
        <v>5</v>
      </c>
      <c r="C364">
        <v>7</v>
      </c>
      <c r="D364">
        <f>IFERROR(IF(_xlfn.XLOOKUP(A364, ①オッズ入力!$A$2:$A$19, ①オッズ入力!$D$2:$D$19, "")="", 0, _xlfn.XLOOKUP(A364, ①オッズ入力!$A$2:$A$19, ①オッズ入力!$D$2:$D$19, 0)), 0)</f>
        <v>7.1460052806072205E-2</v>
      </c>
      <c r="E364">
        <f>IFERROR(IF(_xlfn.XLOOKUP(B364, ①オッズ入力!$A$2:$A$19, ①オッズ入力!$D$2:$D$19, "")="", 0, _xlfn.XLOOKUP(B364, ①オッズ入力!$A$2:$A$19, ①オッズ入力!$D$2:$D$19, 0)), 0)</f>
        <v>4.4662533003795128E-2</v>
      </c>
      <c r="F364">
        <f>IFERROR(IF(_xlfn.XLOOKUP(C364, ①オッズ入力!$A$2:$A$19, ①オッズ入力!$D$2:$D$19, "")="", 0, _xlfn.XLOOKUP(C364, ①オッズ入力!$A$2:$A$19, ①オッズ入力!$D$2:$D$19, 0)), 0)</f>
        <v>2.9775022002530085E-2</v>
      </c>
      <c r="G364">
        <f t="shared" si="10"/>
        <v>10523.040115232594</v>
      </c>
      <c r="H364">
        <f>IF(G364="", 0, IF(OR(A364=③資金配分!$D$1, A364=③資金配分!$D$2, B364=③資金配分!$D$1, B364=③資金配分!$D$2, C364=③資金配分!$D$1, C364=③資金配分!$D$2), 0, IF(OR(A364=③資金配分!$D$4, A364=③資金配分!$D$5, A364=③資金配分!$D$6, B364=③資金配分!$D$4, B364=③資金配分!$D$5, B364=③資金配分!$D$6, C364=③資金配分!$D$4, C364=③資金配分!$D$5, C364=③資金配分!$D$6), 0, IF(AND(③資金配分!$B$8&gt;0, G364&lt;=③資金配分!$B$8), 1, 0))))</f>
        <v>0</v>
      </c>
      <c r="I364">
        <f t="shared" si="11"/>
        <v>0</v>
      </c>
      <c r="J364">
        <f>IF(I364&gt;0, ROUND((I364 / SUM($I$2:$I$817)) * ③資金配分!$B$7, -2), 0)</f>
        <v>0</v>
      </c>
    </row>
    <row r="365" spans="1:10" x14ac:dyDescent="0.4">
      <c r="A365">
        <v>4</v>
      </c>
      <c r="B365">
        <v>5</v>
      </c>
      <c r="C365">
        <v>8</v>
      </c>
      <c r="D365">
        <f>IFERROR(IF(_xlfn.XLOOKUP(A365, ①オッズ入力!$A$2:$A$19, ①オッズ入力!$D$2:$D$19, "")="", 0, _xlfn.XLOOKUP(A365, ①オッズ入力!$A$2:$A$19, ①オッズ入力!$D$2:$D$19, 0)), 0)</f>
        <v>7.1460052806072205E-2</v>
      </c>
      <c r="E365">
        <f>IFERROR(IF(_xlfn.XLOOKUP(B365, ①オッズ入力!$A$2:$A$19, ①オッズ入力!$D$2:$D$19, "")="", 0, _xlfn.XLOOKUP(B365, ①オッズ入力!$A$2:$A$19, ①オッズ入力!$D$2:$D$19, 0)), 0)</f>
        <v>4.4662533003795128E-2</v>
      </c>
      <c r="F365">
        <f>IFERROR(IF(_xlfn.XLOOKUP(C365, ①オッズ入力!$A$2:$A$19, ①オッズ入力!$D$2:$D$19, "")="", 0, _xlfn.XLOOKUP(C365, ①オッズ入力!$A$2:$A$19, ①オッズ入力!$D$2:$D$19, 0)), 0)</f>
        <v>2.3820017602024068E-2</v>
      </c>
      <c r="G365">
        <f t="shared" si="10"/>
        <v>13153.800144040742</v>
      </c>
      <c r="H365">
        <f>IF(G365="", 0, IF(OR(A365=③資金配分!$D$1, A365=③資金配分!$D$2, B365=③資金配分!$D$1, B365=③資金配分!$D$2, C365=③資金配分!$D$1, C365=③資金配分!$D$2), 0, IF(OR(A365=③資金配分!$D$4, A365=③資金配分!$D$5, A365=③資金配分!$D$6, B365=③資金配分!$D$4, B365=③資金配分!$D$5, B365=③資金配分!$D$6, C365=③資金配分!$D$4, C365=③資金配分!$D$5, C365=③資金配分!$D$6), 0, IF(AND(③資金配分!$B$8&gt;0, G365&lt;=③資金配分!$B$8), 1, 0))))</f>
        <v>0</v>
      </c>
      <c r="I365">
        <f t="shared" si="11"/>
        <v>0</v>
      </c>
      <c r="J365">
        <f>IF(I365&gt;0, ROUND((I365 / SUM($I$2:$I$817)) * ③資金配分!$B$7, -2), 0)</f>
        <v>0</v>
      </c>
    </row>
    <row r="366" spans="1:10" x14ac:dyDescent="0.4">
      <c r="A366">
        <v>4</v>
      </c>
      <c r="B366">
        <v>5</v>
      </c>
      <c r="C366">
        <v>9</v>
      </c>
      <c r="D366">
        <f>IFERROR(IF(_xlfn.XLOOKUP(A366, ①オッズ入力!$A$2:$A$19, ①オッズ入力!$D$2:$D$19, "")="", 0, _xlfn.XLOOKUP(A366, ①オッズ入力!$A$2:$A$19, ①オッズ入力!$D$2:$D$19, 0)), 0)</f>
        <v>7.1460052806072205E-2</v>
      </c>
      <c r="E366">
        <f>IFERROR(IF(_xlfn.XLOOKUP(B366, ①オッズ入力!$A$2:$A$19, ①オッズ入力!$D$2:$D$19, "")="", 0, _xlfn.XLOOKUP(B366, ①オッズ入力!$A$2:$A$19, ①オッズ入力!$D$2:$D$19, 0)), 0)</f>
        <v>4.4662533003795128E-2</v>
      </c>
      <c r="F366">
        <f>IFERROR(IF(_xlfn.XLOOKUP(C366, ①オッズ入力!$A$2:$A$19, ①オッズ入力!$D$2:$D$19, "")="", 0, _xlfn.XLOOKUP(C366, ①オッズ入力!$A$2:$A$19, ①オッズ入力!$D$2:$D$19, 0)), 0)</f>
        <v>1.9850014668353389E-2</v>
      </c>
      <c r="G366">
        <f t="shared" si="10"/>
        <v>15784.560172848893</v>
      </c>
      <c r="H366">
        <f>IF(G366="", 0, IF(OR(A366=③資金配分!$D$1, A366=③資金配分!$D$2, B366=③資金配分!$D$1, B366=③資金配分!$D$2, C366=③資金配分!$D$1, C366=③資金配分!$D$2), 0, IF(OR(A366=③資金配分!$D$4, A366=③資金配分!$D$5, A366=③資金配分!$D$6, B366=③資金配分!$D$4, B366=③資金配分!$D$5, B366=③資金配分!$D$6, C366=③資金配分!$D$4, C366=③資金配分!$D$5, C366=③資金配分!$D$6), 0, IF(AND(③資金配分!$B$8&gt;0, G366&lt;=③資金配分!$B$8), 1, 0))))</f>
        <v>0</v>
      </c>
      <c r="I366">
        <f t="shared" si="11"/>
        <v>0</v>
      </c>
      <c r="J366">
        <f>IF(I366&gt;0, ROUND((I366 / SUM($I$2:$I$817)) * ③資金配分!$B$7, -2), 0)</f>
        <v>0</v>
      </c>
    </row>
    <row r="367" spans="1:10" x14ac:dyDescent="0.4">
      <c r="A367">
        <v>4</v>
      </c>
      <c r="B367">
        <v>5</v>
      </c>
      <c r="C367">
        <v>10</v>
      </c>
      <c r="D367">
        <f>IFERROR(IF(_xlfn.XLOOKUP(A367, ①オッズ入力!$A$2:$A$19, ①オッズ入力!$D$2:$D$19, "")="", 0, _xlfn.XLOOKUP(A367, ①オッズ入力!$A$2:$A$19, ①オッズ入力!$D$2:$D$19, 0)), 0)</f>
        <v>7.1460052806072205E-2</v>
      </c>
      <c r="E367">
        <f>IFERROR(IF(_xlfn.XLOOKUP(B367, ①オッズ入力!$A$2:$A$19, ①オッズ入力!$D$2:$D$19, "")="", 0, _xlfn.XLOOKUP(B367, ①オッズ入力!$A$2:$A$19, ①オッズ入力!$D$2:$D$19, 0)), 0)</f>
        <v>4.4662533003795128E-2</v>
      </c>
      <c r="F367">
        <f>IFERROR(IF(_xlfn.XLOOKUP(C367, ①オッズ入力!$A$2:$A$19, ①オッズ入力!$D$2:$D$19, "")="", 0, _xlfn.XLOOKUP(C367, ①オッズ入力!$A$2:$A$19, ①オッズ入力!$D$2:$D$19, 0)), 0)</f>
        <v>1.7865013201518051E-2</v>
      </c>
      <c r="G367">
        <f t="shared" si="10"/>
        <v>17538.400192054323</v>
      </c>
      <c r="H367">
        <f>IF(G367="", 0, IF(OR(A367=③資金配分!$D$1, A367=③資金配分!$D$2, B367=③資金配分!$D$1, B367=③資金配分!$D$2, C367=③資金配分!$D$1, C367=③資金配分!$D$2), 0, IF(OR(A367=③資金配分!$D$4, A367=③資金配分!$D$5, A367=③資金配分!$D$6, B367=③資金配分!$D$4, B367=③資金配分!$D$5, B367=③資金配分!$D$6, C367=③資金配分!$D$4, C367=③資金配分!$D$5, C367=③資金配分!$D$6), 0, IF(AND(③資金配分!$B$8&gt;0, G367&lt;=③資金配分!$B$8), 1, 0))))</f>
        <v>0</v>
      </c>
      <c r="I367">
        <f t="shared" si="11"/>
        <v>0</v>
      </c>
      <c r="J367">
        <f>IF(I367&gt;0, ROUND((I367 / SUM($I$2:$I$817)) * ③資金配分!$B$7, -2), 0)</f>
        <v>0</v>
      </c>
    </row>
    <row r="368" spans="1:10" x14ac:dyDescent="0.4">
      <c r="A368">
        <v>4</v>
      </c>
      <c r="B368">
        <v>5</v>
      </c>
      <c r="C368">
        <v>11</v>
      </c>
      <c r="D368">
        <f>IFERROR(IF(_xlfn.XLOOKUP(A368, ①オッズ入力!$A$2:$A$19, ①オッズ入力!$D$2:$D$19, "")="", 0, _xlfn.XLOOKUP(A368, ①オッズ入力!$A$2:$A$19, ①オッズ入力!$D$2:$D$19, 0)), 0)</f>
        <v>7.1460052806072205E-2</v>
      </c>
      <c r="E368">
        <f>IFERROR(IF(_xlfn.XLOOKUP(B368, ①オッズ入力!$A$2:$A$19, ①オッズ入力!$D$2:$D$19, "")="", 0, _xlfn.XLOOKUP(B368, ①オッズ入力!$A$2:$A$19, ①オッズ入力!$D$2:$D$19, 0)), 0)</f>
        <v>4.4662533003795128E-2</v>
      </c>
      <c r="F368">
        <f>IFERROR(IF(_xlfn.XLOOKUP(C368, ①オッズ入力!$A$2:$A$19, ①オッズ入力!$D$2:$D$19, "")="", 0, _xlfn.XLOOKUP(C368, ①オッズ入力!$A$2:$A$19, ①オッズ入力!$D$2:$D$19, 0)), 0)</f>
        <v>1.6240921092289137E-2</v>
      </c>
      <c r="G368">
        <f t="shared" si="10"/>
        <v>19292.240211259756</v>
      </c>
      <c r="H368">
        <f>IF(G368="", 0, IF(OR(A368=③資金配分!$D$1, A368=③資金配分!$D$2, B368=③資金配分!$D$1, B368=③資金配分!$D$2, C368=③資金配分!$D$1, C368=③資金配分!$D$2), 0, IF(OR(A368=③資金配分!$D$4, A368=③資金配分!$D$5, A368=③資金配分!$D$6, B368=③資金配分!$D$4, B368=③資金配分!$D$5, B368=③資金配分!$D$6, C368=③資金配分!$D$4, C368=③資金配分!$D$5, C368=③資金配分!$D$6), 0, IF(AND(③資金配分!$B$8&gt;0, G368&lt;=③資金配分!$B$8), 1, 0))))</f>
        <v>0</v>
      </c>
      <c r="I368">
        <f t="shared" si="11"/>
        <v>0</v>
      </c>
      <c r="J368">
        <f>IF(I368&gt;0, ROUND((I368 / SUM($I$2:$I$817)) * ③資金配分!$B$7, -2), 0)</f>
        <v>0</v>
      </c>
    </row>
    <row r="369" spans="1:10" x14ac:dyDescent="0.4">
      <c r="A369">
        <v>4</v>
      </c>
      <c r="B369">
        <v>5</v>
      </c>
      <c r="C369">
        <v>12</v>
      </c>
      <c r="D369">
        <f>IFERROR(IF(_xlfn.XLOOKUP(A369, ①オッズ入力!$A$2:$A$19, ①オッズ入力!$D$2:$D$19, "")="", 0, _xlfn.XLOOKUP(A369, ①オッズ入力!$A$2:$A$19, ①オッズ入力!$D$2:$D$19, 0)), 0)</f>
        <v>7.1460052806072205E-2</v>
      </c>
      <c r="E369">
        <f>IFERROR(IF(_xlfn.XLOOKUP(B369, ①オッズ入力!$A$2:$A$19, ①オッズ入力!$D$2:$D$19, "")="", 0, _xlfn.XLOOKUP(B369, ①オッズ入力!$A$2:$A$19, ①オッズ入力!$D$2:$D$19, 0)), 0)</f>
        <v>4.4662533003795128E-2</v>
      </c>
      <c r="F369">
        <f>IFERROR(IF(_xlfn.XLOOKUP(C369, ①オッズ入力!$A$2:$A$19, ①オッズ入力!$D$2:$D$19, "")="", 0, _xlfn.XLOOKUP(C369, ①オッズ入力!$A$2:$A$19, ①オッズ入力!$D$2:$D$19, 0)), 0)</f>
        <v>1.4887511001265043E-2</v>
      </c>
      <c r="G369">
        <f t="shared" si="10"/>
        <v>21046.080230465188</v>
      </c>
      <c r="H369">
        <f>IF(G369="", 0, IF(OR(A369=③資金配分!$D$1, A369=③資金配分!$D$2, B369=③資金配分!$D$1, B369=③資金配分!$D$2, C369=③資金配分!$D$1, C369=③資金配分!$D$2), 0, IF(OR(A369=③資金配分!$D$4, A369=③資金配分!$D$5, A369=③資金配分!$D$6, B369=③資金配分!$D$4, B369=③資金配分!$D$5, B369=③資金配分!$D$6, C369=③資金配分!$D$4, C369=③資金配分!$D$5, C369=③資金配分!$D$6), 0, IF(AND(③資金配分!$B$8&gt;0, G369&lt;=③資金配分!$B$8), 1, 0))))</f>
        <v>0</v>
      </c>
      <c r="I369">
        <f t="shared" si="11"/>
        <v>0</v>
      </c>
      <c r="J369">
        <f>IF(I369&gt;0, ROUND((I369 / SUM($I$2:$I$817)) * ③資金配分!$B$7, -2), 0)</f>
        <v>0</v>
      </c>
    </row>
    <row r="370" spans="1:10" x14ac:dyDescent="0.4">
      <c r="A370">
        <v>4</v>
      </c>
      <c r="B370">
        <v>5</v>
      </c>
      <c r="C370">
        <v>13</v>
      </c>
      <c r="D370">
        <f>IFERROR(IF(_xlfn.XLOOKUP(A370, ①オッズ入力!$A$2:$A$19, ①オッズ入力!$D$2:$D$19, "")="", 0, _xlfn.XLOOKUP(A370, ①オッズ入力!$A$2:$A$19, ①オッズ入力!$D$2:$D$19, 0)), 0)</f>
        <v>7.1460052806072205E-2</v>
      </c>
      <c r="E370">
        <f>IFERROR(IF(_xlfn.XLOOKUP(B370, ①オッズ入力!$A$2:$A$19, ①オッズ入力!$D$2:$D$19, "")="", 0, _xlfn.XLOOKUP(B370, ①オッズ入力!$A$2:$A$19, ①オッズ入力!$D$2:$D$19, 0)), 0)</f>
        <v>4.4662533003795128E-2</v>
      </c>
      <c r="F370">
        <f>IFERROR(IF(_xlfn.XLOOKUP(C370, ①オッズ入力!$A$2:$A$19, ①オッズ入力!$D$2:$D$19, "")="", 0, _xlfn.XLOOKUP(C370, ①オッズ入力!$A$2:$A$19, ①オッズ入力!$D$2:$D$19, 0)), 0)</f>
        <v>1.2760723715370036E-2</v>
      </c>
      <c r="G370">
        <f t="shared" si="10"/>
        <v>24553.760268876053</v>
      </c>
      <c r="H370">
        <f>IF(G370="", 0, IF(OR(A370=③資金配分!$D$1, A370=③資金配分!$D$2, B370=③資金配分!$D$1, B370=③資金配分!$D$2, C370=③資金配分!$D$1, C370=③資金配分!$D$2), 0, IF(OR(A370=③資金配分!$D$4, A370=③資金配分!$D$5, A370=③資金配分!$D$6, B370=③資金配分!$D$4, B370=③資金配分!$D$5, B370=③資金配分!$D$6, C370=③資金配分!$D$4, C370=③資金配分!$D$5, C370=③資金配分!$D$6), 0, IF(AND(③資金配分!$B$8&gt;0, G370&lt;=③資金配分!$B$8), 1, 0))))</f>
        <v>0</v>
      </c>
      <c r="I370">
        <f t="shared" si="11"/>
        <v>0</v>
      </c>
      <c r="J370">
        <f>IF(I370&gt;0, ROUND((I370 / SUM($I$2:$I$817)) * ③資金配分!$B$7, -2), 0)</f>
        <v>0</v>
      </c>
    </row>
    <row r="371" spans="1:10" x14ac:dyDescent="0.4">
      <c r="A371">
        <v>4</v>
      </c>
      <c r="B371">
        <v>5</v>
      </c>
      <c r="C371">
        <v>14</v>
      </c>
      <c r="D371">
        <f>IFERROR(IF(_xlfn.XLOOKUP(A371, ①オッズ入力!$A$2:$A$19, ①オッズ入力!$D$2:$D$19, "")="", 0, _xlfn.XLOOKUP(A371, ①オッズ入力!$A$2:$A$19, ①オッズ入力!$D$2:$D$19, 0)), 0)</f>
        <v>7.1460052806072205E-2</v>
      </c>
      <c r="E371">
        <f>IFERROR(IF(_xlfn.XLOOKUP(B371, ①オッズ入力!$A$2:$A$19, ①オッズ入力!$D$2:$D$19, "")="", 0, _xlfn.XLOOKUP(B371, ①オッズ入力!$A$2:$A$19, ①オッズ入力!$D$2:$D$19, 0)), 0)</f>
        <v>4.4662533003795128E-2</v>
      </c>
      <c r="F371">
        <f>IFERROR(IF(_xlfn.XLOOKUP(C371, ①オッズ入力!$A$2:$A$19, ①オッズ入力!$D$2:$D$19, "")="", 0, _xlfn.XLOOKUP(C371, ①オッズ入力!$A$2:$A$19, ①オッズ入力!$D$2:$D$19, 0)), 0)</f>
        <v>1.1525814968721322E-2</v>
      </c>
      <c r="G371">
        <f t="shared" si="10"/>
        <v>27184.520297684201</v>
      </c>
      <c r="H371">
        <f>IF(G371="", 0, IF(OR(A371=③資金配分!$D$1, A371=③資金配分!$D$2, B371=③資金配分!$D$1, B371=③資金配分!$D$2, C371=③資金配分!$D$1, C371=③資金配分!$D$2), 0, IF(OR(A371=③資金配分!$D$4, A371=③資金配分!$D$5, A371=③資金配分!$D$6, B371=③資金配分!$D$4, B371=③資金配分!$D$5, B371=③資金配分!$D$6, C371=③資金配分!$D$4, C371=③資金配分!$D$5, C371=③資金配分!$D$6), 0, IF(AND(③資金配分!$B$8&gt;0, G371&lt;=③資金配分!$B$8), 1, 0))))</f>
        <v>0</v>
      </c>
      <c r="I371">
        <f t="shared" si="11"/>
        <v>0</v>
      </c>
      <c r="J371">
        <f>IF(I371&gt;0, ROUND((I371 / SUM($I$2:$I$817)) * ③資金配分!$B$7, -2), 0)</f>
        <v>0</v>
      </c>
    </row>
    <row r="372" spans="1:10" x14ac:dyDescent="0.4">
      <c r="A372">
        <v>4</v>
      </c>
      <c r="B372">
        <v>5</v>
      </c>
      <c r="C372">
        <v>15</v>
      </c>
      <c r="D372">
        <f>IFERROR(IF(_xlfn.XLOOKUP(A372, ①オッズ入力!$A$2:$A$19, ①オッズ入力!$D$2:$D$19, "")="", 0, _xlfn.XLOOKUP(A372, ①オッズ入力!$A$2:$A$19, ①オッズ入力!$D$2:$D$19, 0)), 0)</f>
        <v>7.1460052806072205E-2</v>
      </c>
      <c r="E372">
        <f>IFERROR(IF(_xlfn.XLOOKUP(B372, ①オッズ入力!$A$2:$A$19, ①オッズ入力!$D$2:$D$19, "")="", 0, _xlfn.XLOOKUP(B372, ①オッズ入力!$A$2:$A$19, ①オッズ入力!$D$2:$D$19, 0)), 0)</f>
        <v>4.4662533003795128E-2</v>
      </c>
      <c r="F372">
        <f>IFERROR(IF(_xlfn.XLOOKUP(C372, ①オッズ入力!$A$2:$A$19, ①オッズ入力!$D$2:$D$19, "")="", 0, _xlfn.XLOOKUP(C372, ①オッズ入力!$A$2:$A$19, ①オッズ入力!$D$2:$D$19, 0)), 0)</f>
        <v>1.0697612695519792E-2</v>
      </c>
      <c r="G372">
        <f t="shared" si="10"/>
        <v>29289.128320730721</v>
      </c>
      <c r="H372">
        <f>IF(G372="", 0, IF(OR(A372=③資金配分!$D$1, A372=③資金配分!$D$2, B372=③資金配分!$D$1, B372=③資金配分!$D$2, C372=③資金配分!$D$1, C372=③資金配分!$D$2), 0, IF(OR(A372=③資金配分!$D$4, A372=③資金配分!$D$5, A372=③資金配分!$D$6, B372=③資金配分!$D$4, B372=③資金配分!$D$5, B372=③資金配分!$D$6, C372=③資金配分!$D$4, C372=③資金配分!$D$5, C372=③資金配分!$D$6), 0, IF(AND(③資金配分!$B$8&gt;0, G372&lt;=③資金配分!$B$8), 1, 0))))</f>
        <v>0</v>
      </c>
      <c r="I372">
        <f t="shared" si="11"/>
        <v>0</v>
      </c>
      <c r="J372">
        <f>IF(I372&gt;0, ROUND((I372 / SUM($I$2:$I$817)) * ③資金配分!$B$7, -2), 0)</f>
        <v>0</v>
      </c>
    </row>
    <row r="373" spans="1:10" x14ac:dyDescent="0.4">
      <c r="A373">
        <v>4</v>
      </c>
      <c r="B373">
        <v>5</v>
      </c>
      <c r="C373">
        <v>16</v>
      </c>
      <c r="D373">
        <f>IFERROR(IF(_xlfn.XLOOKUP(A373, ①オッズ入力!$A$2:$A$19, ①オッズ入力!$D$2:$D$19, "")="", 0, _xlfn.XLOOKUP(A373, ①オッズ入力!$A$2:$A$19, ①オッズ入力!$D$2:$D$19, 0)), 0)</f>
        <v>7.1460052806072205E-2</v>
      </c>
      <c r="E373">
        <f>IFERROR(IF(_xlfn.XLOOKUP(B373, ①オッズ入力!$A$2:$A$19, ①オッズ入力!$D$2:$D$19, "")="", 0, _xlfn.XLOOKUP(B373, ①オッズ入力!$A$2:$A$19, ①オッズ入力!$D$2:$D$19, 0)), 0)</f>
        <v>4.4662533003795128E-2</v>
      </c>
      <c r="F373">
        <f>IFERROR(IF(_xlfn.XLOOKUP(C373, ①オッズ入力!$A$2:$A$19, ①オッズ入力!$D$2:$D$19, "")="", 0, _xlfn.XLOOKUP(C373, ①オッズ入力!$A$2:$A$19, ①オッズ入力!$D$2:$D$19, 0)), 0)</f>
        <v>9.8701730395127345E-3</v>
      </c>
      <c r="G373">
        <f t="shared" si="10"/>
        <v>31744.504347618327</v>
      </c>
      <c r="H373">
        <f>IF(G373="", 0, IF(OR(A373=③資金配分!$D$1, A373=③資金配分!$D$2, B373=③資金配分!$D$1, B373=③資金配分!$D$2, C373=③資金配分!$D$1, C373=③資金配分!$D$2), 0, IF(OR(A373=③資金配分!$D$4, A373=③資金配分!$D$5, A373=③資金配分!$D$6, B373=③資金配分!$D$4, B373=③資金配分!$D$5, B373=③資金配分!$D$6, C373=③資金配分!$D$4, C373=③資金配分!$D$5, C373=③資金配分!$D$6), 0, IF(AND(③資金配分!$B$8&gt;0, G373&lt;=③資金配分!$B$8), 1, 0))))</f>
        <v>0</v>
      </c>
      <c r="I373">
        <f t="shared" si="11"/>
        <v>0</v>
      </c>
      <c r="J373">
        <f>IF(I373&gt;0, ROUND((I373 / SUM($I$2:$I$817)) * ③資金配分!$B$7, -2), 0)</f>
        <v>0</v>
      </c>
    </row>
    <row r="374" spans="1:10" x14ac:dyDescent="0.4">
      <c r="A374">
        <v>4</v>
      </c>
      <c r="B374">
        <v>5</v>
      </c>
      <c r="C374">
        <v>17</v>
      </c>
      <c r="D374">
        <f>IFERROR(IF(_xlfn.XLOOKUP(A374, ①オッズ入力!$A$2:$A$19, ①オッズ入力!$D$2:$D$19, "")="", 0, _xlfn.XLOOKUP(A374, ①オッズ入力!$A$2:$A$19, ①オッズ入力!$D$2:$D$19, 0)), 0)</f>
        <v>7.1460052806072205E-2</v>
      </c>
      <c r="E374">
        <f>IFERROR(IF(_xlfn.XLOOKUP(B374, ①オッズ入力!$A$2:$A$19, ①オッズ入力!$D$2:$D$19, "")="", 0, _xlfn.XLOOKUP(B374, ①オッズ入力!$A$2:$A$19, ①オッズ入力!$D$2:$D$19, 0)), 0)</f>
        <v>4.4662533003795128E-2</v>
      </c>
      <c r="F374">
        <f>IFERROR(IF(_xlfn.XLOOKUP(C374, ①オッズ入力!$A$2:$A$19, ①オッズ入力!$D$2:$D$19, "")="", 0, _xlfn.XLOOKUP(C374, ①オッズ入力!$A$2:$A$19, ①オッズ入力!$D$2:$D$19, 0)), 0)</f>
        <v>9.1615452315477186E-3</v>
      </c>
      <c r="G374">
        <f t="shared" si="10"/>
        <v>34199.880374505934</v>
      </c>
      <c r="H374">
        <f>IF(G374="", 0, IF(OR(A374=③資金配分!$D$1, A374=③資金配分!$D$2, B374=③資金配分!$D$1, B374=③資金配分!$D$2, C374=③資金配分!$D$1, C374=③資金配分!$D$2), 0, IF(OR(A374=③資金配分!$D$4, A374=③資金配分!$D$5, A374=③資金配分!$D$6, B374=③資金配分!$D$4, B374=③資金配分!$D$5, B374=③資金配分!$D$6, C374=③資金配分!$D$4, C374=③資金配分!$D$5, C374=③資金配分!$D$6), 0, IF(AND(③資金配分!$B$8&gt;0, G374&lt;=③資金配分!$B$8), 1, 0))))</f>
        <v>0</v>
      </c>
      <c r="I374">
        <f t="shared" si="11"/>
        <v>0</v>
      </c>
      <c r="J374">
        <f>IF(I374&gt;0, ROUND((I374 / SUM($I$2:$I$817)) * ③資金配分!$B$7, -2), 0)</f>
        <v>0</v>
      </c>
    </row>
    <row r="375" spans="1:10" x14ac:dyDescent="0.4">
      <c r="A375">
        <v>4</v>
      </c>
      <c r="B375">
        <v>5</v>
      </c>
      <c r="C375">
        <v>18</v>
      </c>
      <c r="D375">
        <f>IFERROR(IF(_xlfn.XLOOKUP(A375, ①オッズ入力!$A$2:$A$19, ①オッズ入力!$D$2:$D$19, "")="", 0, _xlfn.XLOOKUP(A375, ①オッズ入力!$A$2:$A$19, ①オッズ入力!$D$2:$D$19, 0)), 0)</f>
        <v>7.1460052806072205E-2</v>
      </c>
      <c r="E375">
        <f>IFERROR(IF(_xlfn.XLOOKUP(B375, ①オッズ入力!$A$2:$A$19, ①オッズ入力!$D$2:$D$19, "")="", 0, _xlfn.XLOOKUP(B375, ①オッズ入力!$A$2:$A$19, ①オッズ入力!$D$2:$D$19, 0)), 0)</f>
        <v>4.4662533003795128E-2</v>
      </c>
      <c r="F375">
        <f>IFERROR(IF(_xlfn.XLOOKUP(C375, ①オッズ入力!$A$2:$A$19, ①オッズ入力!$D$2:$D$19, "")="", 0, _xlfn.XLOOKUP(C375, ①オッズ入力!$A$2:$A$19, ①オッズ入力!$D$2:$D$19, 0)), 0)</f>
        <v>8.5478532064679671E-3</v>
      </c>
      <c r="G375">
        <f t="shared" si="10"/>
        <v>36655.256401393533</v>
      </c>
      <c r="H375">
        <f>IF(G375="", 0, IF(OR(A375=③資金配分!$D$1, A375=③資金配分!$D$2, B375=③資金配分!$D$1, B375=③資金配分!$D$2, C375=③資金配分!$D$1, C375=③資金配分!$D$2), 0, IF(OR(A375=③資金配分!$D$4, A375=③資金配分!$D$5, A375=③資金配分!$D$6, B375=③資金配分!$D$4, B375=③資金配分!$D$5, B375=③資金配分!$D$6, C375=③資金配分!$D$4, C375=③資金配分!$D$5, C375=③資金配分!$D$6), 0, IF(AND(③資金配分!$B$8&gt;0, G375&lt;=③資金配分!$B$8), 1, 0))))</f>
        <v>0</v>
      </c>
      <c r="I375">
        <f t="shared" si="11"/>
        <v>0</v>
      </c>
      <c r="J375">
        <f>IF(I375&gt;0, ROUND((I375 / SUM($I$2:$I$817)) * ③資金配分!$B$7, -2), 0)</f>
        <v>0</v>
      </c>
    </row>
    <row r="376" spans="1:10" x14ac:dyDescent="0.4">
      <c r="A376">
        <v>4</v>
      </c>
      <c r="B376">
        <v>6</v>
      </c>
      <c r="C376">
        <v>7</v>
      </c>
      <c r="D376">
        <f>IFERROR(IF(_xlfn.XLOOKUP(A376, ①オッズ入力!$A$2:$A$19, ①オッズ入力!$D$2:$D$19, "")="", 0, _xlfn.XLOOKUP(A376, ①オッズ入力!$A$2:$A$19, ①オッズ入力!$D$2:$D$19, 0)), 0)</f>
        <v>7.1460052806072205E-2</v>
      </c>
      <c r="E376">
        <f>IFERROR(IF(_xlfn.XLOOKUP(B376, ①オッズ入力!$A$2:$A$19, ①オッズ入力!$D$2:$D$19, "")="", 0, _xlfn.XLOOKUP(B376, ①オッズ入力!$A$2:$A$19, ①オッズ入力!$D$2:$D$19, 0)), 0)</f>
        <v>3.2481842184578273E-2</v>
      </c>
      <c r="F376">
        <f>IFERROR(IF(_xlfn.XLOOKUP(C376, ①オッズ入力!$A$2:$A$19, ①オッズ入力!$D$2:$D$19, "")="", 0, _xlfn.XLOOKUP(C376, ①オッズ入力!$A$2:$A$19, ①オッズ入力!$D$2:$D$19, 0)), 0)</f>
        <v>2.9775022002530085E-2</v>
      </c>
      <c r="G376">
        <f t="shared" si="10"/>
        <v>14469.180158444817</v>
      </c>
      <c r="H376">
        <f>IF(G376="", 0, IF(OR(A376=③資金配分!$D$1, A376=③資金配分!$D$2, B376=③資金配分!$D$1, B376=③資金配分!$D$2, C376=③資金配分!$D$1, C376=③資金配分!$D$2), 0, IF(OR(A376=③資金配分!$D$4, A376=③資金配分!$D$5, A376=③資金配分!$D$6, B376=③資金配分!$D$4, B376=③資金配分!$D$5, B376=③資金配分!$D$6, C376=③資金配分!$D$4, C376=③資金配分!$D$5, C376=③資金配分!$D$6), 0, IF(AND(③資金配分!$B$8&gt;0, G376&lt;=③資金配分!$B$8), 1, 0))))</f>
        <v>0</v>
      </c>
      <c r="I376">
        <f t="shared" si="11"/>
        <v>0</v>
      </c>
      <c r="J376">
        <f>IF(I376&gt;0, ROUND((I376 / SUM($I$2:$I$817)) * ③資金配分!$B$7, -2), 0)</f>
        <v>0</v>
      </c>
    </row>
    <row r="377" spans="1:10" x14ac:dyDescent="0.4">
      <c r="A377">
        <v>4</v>
      </c>
      <c r="B377">
        <v>6</v>
      </c>
      <c r="C377">
        <v>8</v>
      </c>
      <c r="D377">
        <f>IFERROR(IF(_xlfn.XLOOKUP(A377, ①オッズ入力!$A$2:$A$19, ①オッズ入力!$D$2:$D$19, "")="", 0, _xlfn.XLOOKUP(A377, ①オッズ入力!$A$2:$A$19, ①オッズ入力!$D$2:$D$19, 0)), 0)</f>
        <v>7.1460052806072205E-2</v>
      </c>
      <c r="E377">
        <f>IFERROR(IF(_xlfn.XLOOKUP(B377, ①オッズ入力!$A$2:$A$19, ①オッズ入力!$D$2:$D$19, "")="", 0, _xlfn.XLOOKUP(B377, ①オッズ入力!$A$2:$A$19, ①オッズ入力!$D$2:$D$19, 0)), 0)</f>
        <v>3.2481842184578273E-2</v>
      </c>
      <c r="F377">
        <f>IFERROR(IF(_xlfn.XLOOKUP(C377, ①オッズ入力!$A$2:$A$19, ①オッズ入力!$D$2:$D$19, "")="", 0, _xlfn.XLOOKUP(C377, ①オッズ入力!$A$2:$A$19, ①オッズ入力!$D$2:$D$19, 0)), 0)</f>
        <v>2.3820017602024068E-2</v>
      </c>
      <c r="G377">
        <f t="shared" si="10"/>
        <v>18086.475198056021</v>
      </c>
      <c r="H377">
        <f>IF(G377="", 0, IF(OR(A377=③資金配分!$D$1, A377=③資金配分!$D$2, B377=③資金配分!$D$1, B377=③資金配分!$D$2, C377=③資金配分!$D$1, C377=③資金配分!$D$2), 0, IF(OR(A377=③資金配分!$D$4, A377=③資金配分!$D$5, A377=③資金配分!$D$6, B377=③資金配分!$D$4, B377=③資金配分!$D$5, B377=③資金配分!$D$6, C377=③資金配分!$D$4, C377=③資金配分!$D$5, C377=③資金配分!$D$6), 0, IF(AND(③資金配分!$B$8&gt;0, G377&lt;=③資金配分!$B$8), 1, 0))))</f>
        <v>0</v>
      </c>
      <c r="I377">
        <f t="shared" si="11"/>
        <v>0</v>
      </c>
      <c r="J377">
        <f>IF(I377&gt;0, ROUND((I377 / SUM($I$2:$I$817)) * ③資金配分!$B$7, -2), 0)</f>
        <v>0</v>
      </c>
    </row>
    <row r="378" spans="1:10" x14ac:dyDescent="0.4">
      <c r="A378">
        <v>4</v>
      </c>
      <c r="B378">
        <v>6</v>
      </c>
      <c r="C378">
        <v>9</v>
      </c>
      <c r="D378">
        <f>IFERROR(IF(_xlfn.XLOOKUP(A378, ①オッズ入力!$A$2:$A$19, ①オッズ入力!$D$2:$D$19, "")="", 0, _xlfn.XLOOKUP(A378, ①オッズ入力!$A$2:$A$19, ①オッズ入力!$D$2:$D$19, 0)), 0)</f>
        <v>7.1460052806072205E-2</v>
      </c>
      <c r="E378">
        <f>IFERROR(IF(_xlfn.XLOOKUP(B378, ①オッズ入力!$A$2:$A$19, ①オッズ入力!$D$2:$D$19, "")="", 0, _xlfn.XLOOKUP(B378, ①オッズ入力!$A$2:$A$19, ①オッズ入力!$D$2:$D$19, 0)), 0)</f>
        <v>3.2481842184578273E-2</v>
      </c>
      <c r="F378">
        <f>IFERROR(IF(_xlfn.XLOOKUP(C378, ①オッズ入力!$A$2:$A$19, ①オッズ入力!$D$2:$D$19, "")="", 0, _xlfn.XLOOKUP(C378, ①オッズ入力!$A$2:$A$19, ①オッズ入力!$D$2:$D$19, 0)), 0)</f>
        <v>1.9850014668353389E-2</v>
      </c>
      <c r="G378">
        <f t="shared" si="10"/>
        <v>21703.770237667224</v>
      </c>
      <c r="H378">
        <f>IF(G378="", 0, IF(OR(A378=③資金配分!$D$1, A378=③資金配分!$D$2, B378=③資金配分!$D$1, B378=③資金配分!$D$2, C378=③資金配分!$D$1, C378=③資金配分!$D$2), 0, IF(OR(A378=③資金配分!$D$4, A378=③資金配分!$D$5, A378=③資金配分!$D$6, B378=③資金配分!$D$4, B378=③資金配分!$D$5, B378=③資金配分!$D$6, C378=③資金配分!$D$4, C378=③資金配分!$D$5, C378=③資金配分!$D$6), 0, IF(AND(③資金配分!$B$8&gt;0, G378&lt;=③資金配分!$B$8), 1, 0))))</f>
        <v>0</v>
      </c>
      <c r="I378">
        <f t="shared" si="11"/>
        <v>0</v>
      </c>
      <c r="J378">
        <f>IF(I378&gt;0, ROUND((I378 / SUM($I$2:$I$817)) * ③資金配分!$B$7, -2), 0)</f>
        <v>0</v>
      </c>
    </row>
    <row r="379" spans="1:10" x14ac:dyDescent="0.4">
      <c r="A379">
        <v>4</v>
      </c>
      <c r="B379">
        <v>6</v>
      </c>
      <c r="C379">
        <v>10</v>
      </c>
      <c r="D379">
        <f>IFERROR(IF(_xlfn.XLOOKUP(A379, ①オッズ入力!$A$2:$A$19, ①オッズ入力!$D$2:$D$19, "")="", 0, _xlfn.XLOOKUP(A379, ①オッズ入力!$A$2:$A$19, ①オッズ入力!$D$2:$D$19, 0)), 0)</f>
        <v>7.1460052806072205E-2</v>
      </c>
      <c r="E379">
        <f>IFERROR(IF(_xlfn.XLOOKUP(B379, ①オッズ入力!$A$2:$A$19, ①オッズ入力!$D$2:$D$19, "")="", 0, _xlfn.XLOOKUP(B379, ①オッズ入力!$A$2:$A$19, ①オッズ入力!$D$2:$D$19, 0)), 0)</f>
        <v>3.2481842184578273E-2</v>
      </c>
      <c r="F379">
        <f>IFERROR(IF(_xlfn.XLOOKUP(C379, ①オッズ入力!$A$2:$A$19, ①オッズ入力!$D$2:$D$19, "")="", 0, _xlfn.XLOOKUP(C379, ①オッズ入力!$A$2:$A$19, ①オッズ入力!$D$2:$D$19, 0)), 0)</f>
        <v>1.7865013201518051E-2</v>
      </c>
      <c r="G379">
        <f t="shared" si="10"/>
        <v>24115.300264074693</v>
      </c>
      <c r="H379">
        <f>IF(G379="", 0, IF(OR(A379=③資金配分!$D$1, A379=③資金配分!$D$2, B379=③資金配分!$D$1, B379=③資金配分!$D$2, C379=③資金配分!$D$1, C379=③資金配分!$D$2), 0, IF(OR(A379=③資金配分!$D$4, A379=③資金配分!$D$5, A379=③資金配分!$D$6, B379=③資金配分!$D$4, B379=③資金配分!$D$5, B379=③資金配分!$D$6, C379=③資金配分!$D$4, C379=③資金配分!$D$5, C379=③資金配分!$D$6), 0, IF(AND(③資金配分!$B$8&gt;0, G379&lt;=③資金配分!$B$8), 1, 0))))</f>
        <v>0</v>
      </c>
      <c r="I379">
        <f t="shared" si="11"/>
        <v>0</v>
      </c>
      <c r="J379">
        <f>IF(I379&gt;0, ROUND((I379 / SUM($I$2:$I$817)) * ③資金配分!$B$7, -2), 0)</f>
        <v>0</v>
      </c>
    </row>
    <row r="380" spans="1:10" x14ac:dyDescent="0.4">
      <c r="A380">
        <v>4</v>
      </c>
      <c r="B380">
        <v>6</v>
      </c>
      <c r="C380">
        <v>11</v>
      </c>
      <c r="D380">
        <f>IFERROR(IF(_xlfn.XLOOKUP(A380, ①オッズ入力!$A$2:$A$19, ①オッズ入力!$D$2:$D$19, "")="", 0, _xlfn.XLOOKUP(A380, ①オッズ入力!$A$2:$A$19, ①オッズ入力!$D$2:$D$19, 0)), 0)</f>
        <v>7.1460052806072205E-2</v>
      </c>
      <c r="E380">
        <f>IFERROR(IF(_xlfn.XLOOKUP(B380, ①オッズ入力!$A$2:$A$19, ①オッズ入力!$D$2:$D$19, "")="", 0, _xlfn.XLOOKUP(B380, ①オッズ入力!$A$2:$A$19, ①オッズ入力!$D$2:$D$19, 0)), 0)</f>
        <v>3.2481842184578273E-2</v>
      </c>
      <c r="F380">
        <f>IFERROR(IF(_xlfn.XLOOKUP(C380, ①オッズ入力!$A$2:$A$19, ①オッズ入力!$D$2:$D$19, "")="", 0, _xlfn.XLOOKUP(C380, ①オッズ入力!$A$2:$A$19, ①オッズ入力!$D$2:$D$19, 0)), 0)</f>
        <v>1.6240921092289137E-2</v>
      </c>
      <c r="G380">
        <f t="shared" si="10"/>
        <v>26526.830290482165</v>
      </c>
      <c r="H380">
        <f>IF(G380="", 0, IF(OR(A380=③資金配分!$D$1, A380=③資金配分!$D$2, B380=③資金配分!$D$1, B380=③資金配分!$D$2, C380=③資金配分!$D$1, C380=③資金配分!$D$2), 0, IF(OR(A380=③資金配分!$D$4, A380=③資金配分!$D$5, A380=③資金配分!$D$6, B380=③資金配分!$D$4, B380=③資金配分!$D$5, B380=③資金配分!$D$6, C380=③資金配分!$D$4, C380=③資金配分!$D$5, C380=③資金配分!$D$6), 0, IF(AND(③資金配分!$B$8&gt;0, G380&lt;=③資金配分!$B$8), 1, 0))))</f>
        <v>0</v>
      </c>
      <c r="I380">
        <f t="shared" si="11"/>
        <v>0</v>
      </c>
      <c r="J380">
        <f>IF(I380&gt;0, ROUND((I380 / SUM($I$2:$I$817)) * ③資金配分!$B$7, -2), 0)</f>
        <v>0</v>
      </c>
    </row>
    <row r="381" spans="1:10" x14ac:dyDescent="0.4">
      <c r="A381">
        <v>4</v>
      </c>
      <c r="B381">
        <v>6</v>
      </c>
      <c r="C381">
        <v>12</v>
      </c>
      <c r="D381">
        <f>IFERROR(IF(_xlfn.XLOOKUP(A381, ①オッズ入力!$A$2:$A$19, ①オッズ入力!$D$2:$D$19, "")="", 0, _xlfn.XLOOKUP(A381, ①オッズ入力!$A$2:$A$19, ①オッズ入力!$D$2:$D$19, 0)), 0)</f>
        <v>7.1460052806072205E-2</v>
      </c>
      <c r="E381">
        <f>IFERROR(IF(_xlfn.XLOOKUP(B381, ①オッズ入力!$A$2:$A$19, ①オッズ入力!$D$2:$D$19, "")="", 0, _xlfn.XLOOKUP(B381, ①オッズ入力!$A$2:$A$19, ①オッズ入力!$D$2:$D$19, 0)), 0)</f>
        <v>3.2481842184578273E-2</v>
      </c>
      <c r="F381">
        <f>IFERROR(IF(_xlfn.XLOOKUP(C381, ①オッズ入力!$A$2:$A$19, ①オッズ入力!$D$2:$D$19, "")="", 0, _xlfn.XLOOKUP(C381, ①オッズ入力!$A$2:$A$19, ①オッズ入力!$D$2:$D$19, 0)), 0)</f>
        <v>1.4887511001265043E-2</v>
      </c>
      <c r="G381">
        <f t="shared" si="10"/>
        <v>28938.360316889633</v>
      </c>
      <c r="H381">
        <f>IF(G381="", 0, IF(OR(A381=③資金配分!$D$1, A381=③資金配分!$D$2, B381=③資金配分!$D$1, B381=③資金配分!$D$2, C381=③資金配分!$D$1, C381=③資金配分!$D$2), 0, IF(OR(A381=③資金配分!$D$4, A381=③資金配分!$D$5, A381=③資金配分!$D$6, B381=③資金配分!$D$4, B381=③資金配分!$D$5, B381=③資金配分!$D$6, C381=③資金配分!$D$4, C381=③資金配分!$D$5, C381=③資金配分!$D$6), 0, IF(AND(③資金配分!$B$8&gt;0, G381&lt;=③資金配分!$B$8), 1, 0))))</f>
        <v>0</v>
      </c>
      <c r="I381">
        <f t="shared" si="11"/>
        <v>0</v>
      </c>
      <c r="J381">
        <f>IF(I381&gt;0, ROUND((I381 / SUM($I$2:$I$817)) * ③資金配分!$B$7, -2), 0)</f>
        <v>0</v>
      </c>
    </row>
    <row r="382" spans="1:10" x14ac:dyDescent="0.4">
      <c r="A382">
        <v>4</v>
      </c>
      <c r="B382">
        <v>6</v>
      </c>
      <c r="C382">
        <v>13</v>
      </c>
      <c r="D382">
        <f>IFERROR(IF(_xlfn.XLOOKUP(A382, ①オッズ入力!$A$2:$A$19, ①オッズ入力!$D$2:$D$19, "")="", 0, _xlfn.XLOOKUP(A382, ①オッズ入力!$A$2:$A$19, ①オッズ入力!$D$2:$D$19, 0)), 0)</f>
        <v>7.1460052806072205E-2</v>
      </c>
      <c r="E382">
        <f>IFERROR(IF(_xlfn.XLOOKUP(B382, ①オッズ入力!$A$2:$A$19, ①オッズ入力!$D$2:$D$19, "")="", 0, _xlfn.XLOOKUP(B382, ①オッズ入力!$A$2:$A$19, ①オッズ入力!$D$2:$D$19, 0)), 0)</f>
        <v>3.2481842184578273E-2</v>
      </c>
      <c r="F382">
        <f>IFERROR(IF(_xlfn.XLOOKUP(C382, ①オッズ入力!$A$2:$A$19, ①オッズ入力!$D$2:$D$19, "")="", 0, _xlfn.XLOOKUP(C382, ①オッズ入力!$A$2:$A$19, ①オッズ入力!$D$2:$D$19, 0)), 0)</f>
        <v>1.2760723715370036E-2</v>
      </c>
      <c r="G382">
        <f t="shared" si="10"/>
        <v>33761.420369704574</v>
      </c>
      <c r="H382">
        <f>IF(G382="", 0, IF(OR(A382=③資金配分!$D$1, A382=③資金配分!$D$2, B382=③資金配分!$D$1, B382=③資金配分!$D$2, C382=③資金配分!$D$1, C382=③資金配分!$D$2), 0, IF(OR(A382=③資金配分!$D$4, A382=③資金配分!$D$5, A382=③資金配分!$D$6, B382=③資金配分!$D$4, B382=③資金配分!$D$5, B382=③資金配分!$D$6, C382=③資金配分!$D$4, C382=③資金配分!$D$5, C382=③資金配分!$D$6), 0, IF(AND(③資金配分!$B$8&gt;0, G382&lt;=③資金配分!$B$8), 1, 0))))</f>
        <v>0</v>
      </c>
      <c r="I382">
        <f t="shared" si="11"/>
        <v>0</v>
      </c>
      <c r="J382">
        <f>IF(I382&gt;0, ROUND((I382 / SUM($I$2:$I$817)) * ③資金配分!$B$7, -2), 0)</f>
        <v>0</v>
      </c>
    </row>
    <row r="383" spans="1:10" x14ac:dyDescent="0.4">
      <c r="A383">
        <v>4</v>
      </c>
      <c r="B383">
        <v>6</v>
      </c>
      <c r="C383">
        <v>14</v>
      </c>
      <c r="D383">
        <f>IFERROR(IF(_xlfn.XLOOKUP(A383, ①オッズ入力!$A$2:$A$19, ①オッズ入力!$D$2:$D$19, "")="", 0, _xlfn.XLOOKUP(A383, ①オッズ入力!$A$2:$A$19, ①オッズ入力!$D$2:$D$19, 0)), 0)</f>
        <v>7.1460052806072205E-2</v>
      </c>
      <c r="E383">
        <f>IFERROR(IF(_xlfn.XLOOKUP(B383, ①オッズ入力!$A$2:$A$19, ①オッズ入力!$D$2:$D$19, "")="", 0, _xlfn.XLOOKUP(B383, ①オッズ入力!$A$2:$A$19, ①オッズ入力!$D$2:$D$19, 0)), 0)</f>
        <v>3.2481842184578273E-2</v>
      </c>
      <c r="F383">
        <f>IFERROR(IF(_xlfn.XLOOKUP(C383, ①オッズ入力!$A$2:$A$19, ①オッズ入力!$D$2:$D$19, "")="", 0, _xlfn.XLOOKUP(C383, ①オッズ入力!$A$2:$A$19, ①オッズ入力!$D$2:$D$19, 0)), 0)</f>
        <v>1.1525814968721322E-2</v>
      </c>
      <c r="G383">
        <f t="shared" si="10"/>
        <v>37378.715409315781</v>
      </c>
      <c r="H383">
        <f>IF(G383="", 0, IF(OR(A383=③資金配分!$D$1, A383=③資金配分!$D$2, B383=③資金配分!$D$1, B383=③資金配分!$D$2, C383=③資金配分!$D$1, C383=③資金配分!$D$2), 0, IF(OR(A383=③資金配分!$D$4, A383=③資金配分!$D$5, A383=③資金配分!$D$6, B383=③資金配分!$D$4, B383=③資金配分!$D$5, B383=③資金配分!$D$6, C383=③資金配分!$D$4, C383=③資金配分!$D$5, C383=③資金配分!$D$6), 0, IF(AND(③資金配分!$B$8&gt;0, G383&lt;=③資金配分!$B$8), 1, 0))))</f>
        <v>0</v>
      </c>
      <c r="I383">
        <f t="shared" si="11"/>
        <v>0</v>
      </c>
      <c r="J383">
        <f>IF(I383&gt;0, ROUND((I383 / SUM($I$2:$I$817)) * ③資金配分!$B$7, -2), 0)</f>
        <v>0</v>
      </c>
    </row>
    <row r="384" spans="1:10" x14ac:dyDescent="0.4">
      <c r="A384">
        <v>4</v>
      </c>
      <c r="B384">
        <v>6</v>
      </c>
      <c r="C384">
        <v>15</v>
      </c>
      <c r="D384">
        <f>IFERROR(IF(_xlfn.XLOOKUP(A384, ①オッズ入力!$A$2:$A$19, ①オッズ入力!$D$2:$D$19, "")="", 0, _xlfn.XLOOKUP(A384, ①オッズ入力!$A$2:$A$19, ①オッズ入力!$D$2:$D$19, 0)), 0)</f>
        <v>7.1460052806072205E-2</v>
      </c>
      <c r="E384">
        <f>IFERROR(IF(_xlfn.XLOOKUP(B384, ①オッズ入力!$A$2:$A$19, ①オッズ入力!$D$2:$D$19, "")="", 0, _xlfn.XLOOKUP(B384, ①オッズ入力!$A$2:$A$19, ①オッズ入力!$D$2:$D$19, 0)), 0)</f>
        <v>3.2481842184578273E-2</v>
      </c>
      <c r="F384">
        <f>IFERROR(IF(_xlfn.XLOOKUP(C384, ①オッズ入力!$A$2:$A$19, ①オッズ入力!$D$2:$D$19, "")="", 0, _xlfn.XLOOKUP(C384, ①オッズ入力!$A$2:$A$19, ①オッズ入力!$D$2:$D$19, 0)), 0)</f>
        <v>1.0697612695519792E-2</v>
      </c>
      <c r="G384">
        <f t="shared" si="10"/>
        <v>40272.551441004733</v>
      </c>
      <c r="H384">
        <f>IF(G384="", 0, IF(OR(A384=③資金配分!$D$1, A384=③資金配分!$D$2, B384=③資金配分!$D$1, B384=③資金配分!$D$2, C384=③資金配分!$D$1, C384=③資金配分!$D$2), 0, IF(OR(A384=③資金配分!$D$4, A384=③資金配分!$D$5, A384=③資金配分!$D$6, B384=③資金配分!$D$4, B384=③資金配分!$D$5, B384=③資金配分!$D$6, C384=③資金配分!$D$4, C384=③資金配分!$D$5, C384=③資金配分!$D$6), 0, IF(AND(③資金配分!$B$8&gt;0, G384&lt;=③資金配分!$B$8), 1, 0))))</f>
        <v>0</v>
      </c>
      <c r="I384">
        <f t="shared" si="11"/>
        <v>0</v>
      </c>
      <c r="J384">
        <f>IF(I384&gt;0, ROUND((I384 / SUM($I$2:$I$817)) * ③資金配分!$B$7, -2), 0)</f>
        <v>0</v>
      </c>
    </row>
    <row r="385" spans="1:10" x14ac:dyDescent="0.4">
      <c r="A385">
        <v>4</v>
      </c>
      <c r="B385">
        <v>6</v>
      </c>
      <c r="C385">
        <v>16</v>
      </c>
      <c r="D385">
        <f>IFERROR(IF(_xlfn.XLOOKUP(A385, ①オッズ入力!$A$2:$A$19, ①オッズ入力!$D$2:$D$19, "")="", 0, _xlfn.XLOOKUP(A385, ①オッズ入力!$A$2:$A$19, ①オッズ入力!$D$2:$D$19, 0)), 0)</f>
        <v>7.1460052806072205E-2</v>
      </c>
      <c r="E385">
        <f>IFERROR(IF(_xlfn.XLOOKUP(B385, ①オッズ入力!$A$2:$A$19, ①オッズ入力!$D$2:$D$19, "")="", 0, _xlfn.XLOOKUP(B385, ①オッズ入力!$A$2:$A$19, ①オッズ入力!$D$2:$D$19, 0)), 0)</f>
        <v>3.2481842184578273E-2</v>
      </c>
      <c r="F385">
        <f>IFERROR(IF(_xlfn.XLOOKUP(C385, ①オッズ入力!$A$2:$A$19, ①オッズ入力!$D$2:$D$19, "")="", 0, _xlfn.XLOOKUP(C385, ①オッズ入力!$A$2:$A$19, ①オッズ入力!$D$2:$D$19, 0)), 0)</f>
        <v>9.8701730395127345E-3</v>
      </c>
      <c r="G385">
        <f t="shared" si="10"/>
        <v>43648.693477975197</v>
      </c>
      <c r="H385">
        <f>IF(G385="", 0, IF(OR(A385=③資金配分!$D$1, A385=③資金配分!$D$2, B385=③資金配分!$D$1, B385=③資金配分!$D$2, C385=③資金配分!$D$1, C385=③資金配分!$D$2), 0, IF(OR(A385=③資金配分!$D$4, A385=③資金配分!$D$5, A385=③資金配分!$D$6, B385=③資金配分!$D$4, B385=③資金配分!$D$5, B385=③資金配分!$D$6, C385=③資金配分!$D$4, C385=③資金配分!$D$5, C385=③資金配分!$D$6), 0, IF(AND(③資金配分!$B$8&gt;0, G385&lt;=③資金配分!$B$8), 1, 0))))</f>
        <v>0</v>
      </c>
      <c r="I385">
        <f t="shared" si="11"/>
        <v>0</v>
      </c>
      <c r="J385">
        <f>IF(I385&gt;0, ROUND((I385 / SUM($I$2:$I$817)) * ③資金配分!$B$7, -2), 0)</f>
        <v>0</v>
      </c>
    </row>
    <row r="386" spans="1:10" x14ac:dyDescent="0.4">
      <c r="A386">
        <v>4</v>
      </c>
      <c r="B386">
        <v>6</v>
      </c>
      <c r="C386">
        <v>17</v>
      </c>
      <c r="D386">
        <f>IFERROR(IF(_xlfn.XLOOKUP(A386, ①オッズ入力!$A$2:$A$19, ①オッズ入力!$D$2:$D$19, "")="", 0, _xlfn.XLOOKUP(A386, ①オッズ入力!$A$2:$A$19, ①オッズ入力!$D$2:$D$19, 0)), 0)</f>
        <v>7.1460052806072205E-2</v>
      </c>
      <c r="E386">
        <f>IFERROR(IF(_xlfn.XLOOKUP(B386, ①オッズ入力!$A$2:$A$19, ①オッズ入力!$D$2:$D$19, "")="", 0, _xlfn.XLOOKUP(B386, ①オッズ入力!$A$2:$A$19, ①オッズ入力!$D$2:$D$19, 0)), 0)</f>
        <v>3.2481842184578273E-2</v>
      </c>
      <c r="F386">
        <f>IFERROR(IF(_xlfn.XLOOKUP(C386, ①オッズ入力!$A$2:$A$19, ①オッズ入力!$D$2:$D$19, "")="", 0, _xlfn.XLOOKUP(C386, ①オッズ入力!$A$2:$A$19, ①オッズ入力!$D$2:$D$19, 0)), 0)</f>
        <v>9.1615452315477186E-3</v>
      </c>
      <c r="G386">
        <f t="shared" si="10"/>
        <v>47024.835514945647</v>
      </c>
      <c r="H386">
        <f>IF(G386="", 0, IF(OR(A386=③資金配分!$D$1, A386=③資金配分!$D$2, B386=③資金配分!$D$1, B386=③資金配分!$D$2, C386=③資金配分!$D$1, C386=③資金配分!$D$2), 0, IF(OR(A386=③資金配分!$D$4, A386=③資金配分!$D$5, A386=③資金配分!$D$6, B386=③資金配分!$D$4, B386=③資金配分!$D$5, B386=③資金配分!$D$6, C386=③資金配分!$D$4, C386=③資金配分!$D$5, C386=③資金配分!$D$6), 0, IF(AND(③資金配分!$B$8&gt;0, G386&lt;=③資金配分!$B$8), 1, 0))))</f>
        <v>0</v>
      </c>
      <c r="I386">
        <f t="shared" si="11"/>
        <v>0</v>
      </c>
      <c r="J386">
        <f>IF(I386&gt;0, ROUND((I386 / SUM($I$2:$I$817)) * ③資金配分!$B$7, -2), 0)</f>
        <v>0</v>
      </c>
    </row>
    <row r="387" spans="1:10" x14ac:dyDescent="0.4">
      <c r="A387">
        <v>4</v>
      </c>
      <c r="B387">
        <v>6</v>
      </c>
      <c r="C387">
        <v>18</v>
      </c>
      <c r="D387">
        <f>IFERROR(IF(_xlfn.XLOOKUP(A387, ①オッズ入力!$A$2:$A$19, ①オッズ入力!$D$2:$D$19, "")="", 0, _xlfn.XLOOKUP(A387, ①オッズ入力!$A$2:$A$19, ①オッズ入力!$D$2:$D$19, 0)), 0)</f>
        <v>7.1460052806072205E-2</v>
      </c>
      <c r="E387">
        <f>IFERROR(IF(_xlfn.XLOOKUP(B387, ①オッズ入力!$A$2:$A$19, ①オッズ入力!$D$2:$D$19, "")="", 0, _xlfn.XLOOKUP(B387, ①オッズ入力!$A$2:$A$19, ①オッズ入力!$D$2:$D$19, 0)), 0)</f>
        <v>3.2481842184578273E-2</v>
      </c>
      <c r="F387">
        <f>IFERROR(IF(_xlfn.XLOOKUP(C387, ①オッズ入力!$A$2:$A$19, ①オッズ入力!$D$2:$D$19, "")="", 0, _xlfn.XLOOKUP(C387, ①オッズ入力!$A$2:$A$19, ①オッズ入力!$D$2:$D$19, 0)), 0)</f>
        <v>8.5478532064679671E-3</v>
      </c>
      <c r="G387">
        <f t="shared" ref="G387:G450" si="12">IF(OR(D387=0, E387=0, F387=0), "", 1/(D387*E387*F387))</f>
        <v>50400.977551916105</v>
      </c>
      <c r="H387">
        <f>IF(G387="", 0, IF(OR(A387=③資金配分!$D$1, A387=③資金配分!$D$2, B387=③資金配分!$D$1, B387=③資金配分!$D$2, C387=③資金配分!$D$1, C387=③資金配分!$D$2), 0, IF(OR(A387=③資金配分!$D$4, A387=③資金配分!$D$5, A387=③資金配分!$D$6, B387=③資金配分!$D$4, B387=③資金配分!$D$5, B387=③資金配分!$D$6, C387=③資金配分!$D$4, C387=③資金配分!$D$5, C387=③資金配分!$D$6), 0, IF(AND(③資金配分!$B$8&gt;0, G387&lt;=③資金配分!$B$8), 1, 0))))</f>
        <v>0</v>
      </c>
      <c r="I387">
        <f t="shared" ref="I387:I450" si="13">IF(H387=1, 1/G387, 0)</f>
        <v>0</v>
      </c>
      <c r="J387">
        <f>IF(I387&gt;0, ROUND((I387 / SUM($I$2:$I$817)) * ③資金配分!$B$7, -2), 0)</f>
        <v>0</v>
      </c>
    </row>
    <row r="388" spans="1:10" x14ac:dyDescent="0.4">
      <c r="A388">
        <v>4</v>
      </c>
      <c r="B388">
        <v>7</v>
      </c>
      <c r="C388">
        <v>8</v>
      </c>
      <c r="D388">
        <f>IFERROR(IF(_xlfn.XLOOKUP(A388, ①オッズ入力!$A$2:$A$19, ①オッズ入力!$D$2:$D$19, "")="", 0, _xlfn.XLOOKUP(A388, ①オッズ入力!$A$2:$A$19, ①オッズ入力!$D$2:$D$19, 0)), 0)</f>
        <v>7.1460052806072205E-2</v>
      </c>
      <c r="E388">
        <f>IFERROR(IF(_xlfn.XLOOKUP(B388, ①オッズ入力!$A$2:$A$19, ①オッズ入力!$D$2:$D$19, "")="", 0, _xlfn.XLOOKUP(B388, ①オッズ入力!$A$2:$A$19, ①オッズ入力!$D$2:$D$19, 0)), 0)</f>
        <v>2.9775022002530085E-2</v>
      </c>
      <c r="F388">
        <f>IFERROR(IF(_xlfn.XLOOKUP(C388, ①オッズ入力!$A$2:$A$19, ①オッズ入力!$D$2:$D$19, "")="", 0, _xlfn.XLOOKUP(C388, ①オッズ入力!$A$2:$A$19, ①オッズ入力!$D$2:$D$19, 0)), 0)</f>
        <v>2.3820017602024068E-2</v>
      </c>
      <c r="G388">
        <f t="shared" si="12"/>
        <v>19730.700216061115</v>
      </c>
      <c r="H388">
        <f>IF(G388="", 0, IF(OR(A388=③資金配分!$D$1, A388=③資金配分!$D$2, B388=③資金配分!$D$1, B388=③資金配分!$D$2, C388=③資金配分!$D$1, C388=③資金配分!$D$2), 0, IF(OR(A388=③資金配分!$D$4, A388=③資金配分!$D$5, A388=③資金配分!$D$6, B388=③資金配分!$D$4, B388=③資金配分!$D$5, B388=③資金配分!$D$6, C388=③資金配分!$D$4, C388=③資金配分!$D$5, C388=③資金配分!$D$6), 0, IF(AND(③資金配分!$B$8&gt;0, G388&lt;=③資金配分!$B$8), 1, 0))))</f>
        <v>0</v>
      </c>
      <c r="I388">
        <f t="shared" si="13"/>
        <v>0</v>
      </c>
      <c r="J388">
        <f>IF(I388&gt;0, ROUND((I388 / SUM($I$2:$I$817)) * ③資金配分!$B$7, -2), 0)</f>
        <v>0</v>
      </c>
    </row>
    <row r="389" spans="1:10" x14ac:dyDescent="0.4">
      <c r="A389">
        <v>4</v>
      </c>
      <c r="B389">
        <v>7</v>
      </c>
      <c r="C389">
        <v>9</v>
      </c>
      <c r="D389">
        <f>IFERROR(IF(_xlfn.XLOOKUP(A389, ①オッズ入力!$A$2:$A$19, ①オッズ入力!$D$2:$D$19, "")="", 0, _xlfn.XLOOKUP(A389, ①オッズ入力!$A$2:$A$19, ①オッズ入力!$D$2:$D$19, 0)), 0)</f>
        <v>7.1460052806072205E-2</v>
      </c>
      <c r="E389">
        <f>IFERROR(IF(_xlfn.XLOOKUP(B389, ①オッズ入力!$A$2:$A$19, ①オッズ入力!$D$2:$D$19, "")="", 0, _xlfn.XLOOKUP(B389, ①オッズ入力!$A$2:$A$19, ①オッズ入力!$D$2:$D$19, 0)), 0)</f>
        <v>2.9775022002530085E-2</v>
      </c>
      <c r="F389">
        <f>IFERROR(IF(_xlfn.XLOOKUP(C389, ①オッズ入力!$A$2:$A$19, ①オッズ入力!$D$2:$D$19, "")="", 0, _xlfn.XLOOKUP(C389, ①オッズ入力!$A$2:$A$19, ①オッズ入力!$D$2:$D$19, 0)), 0)</f>
        <v>1.9850014668353389E-2</v>
      </c>
      <c r="G389">
        <f t="shared" si="12"/>
        <v>23676.84025927334</v>
      </c>
      <c r="H389">
        <f>IF(G389="", 0, IF(OR(A389=③資金配分!$D$1, A389=③資金配分!$D$2, B389=③資金配分!$D$1, B389=③資金配分!$D$2, C389=③資金配分!$D$1, C389=③資金配分!$D$2), 0, IF(OR(A389=③資金配分!$D$4, A389=③資金配分!$D$5, A389=③資金配分!$D$6, B389=③資金配分!$D$4, B389=③資金配分!$D$5, B389=③資金配分!$D$6, C389=③資金配分!$D$4, C389=③資金配分!$D$5, C389=③資金配分!$D$6), 0, IF(AND(③資金配分!$B$8&gt;0, G389&lt;=③資金配分!$B$8), 1, 0))))</f>
        <v>0</v>
      </c>
      <c r="I389">
        <f t="shared" si="13"/>
        <v>0</v>
      </c>
      <c r="J389">
        <f>IF(I389&gt;0, ROUND((I389 / SUM($I$2:$I$817)) * ③資金配分!$B$7, -2), 0)</f>
        <v>0</v>
      </c>
    </row>
    <row r="390" spans="1:10" x14ac:dyDescent="0.4">
      <c r="A390">
        <v>4</v>
      </c>
      <c r="B390">
        <v>7</v>
      </c>
      <c r="C390">
        <v>10</v>
      </c>
      <c r="D390">
        <f>IFERROR(IF(_xlfn.XLOOKUP(A390, ①オッズ入力!$A$2:$A$19, ①オッズ入力!$D$2:$D$19, "")="", 0, _xlfn.XLOOKUP(A390, ①オッズ入力!$A$2:$A$19, ①オッズ入力!$D$2:$D$19, 0)), 0)</f>
        <v>7.1460052806072205E-2</v>
      </c>
      <c r="E390">
        <f>IFERROR(IF(_xlfn.XLOOKUP(B390, ①オッズ入力!$A$2:$A$19, ①オッズ入力!$D$2:$D$19, "")="", 0, _xlfn.XLOOKUP(B390, ①オッズ入力!$A$2:$A$19, ①オッズ入力!$D$2:$D$19, 0)), 0)</f>
        <v>2.9775022002530085E-2</v>
      </c>
      <c r="F390">
        <f>IFERROR(IF(_xlfn.XLOOKUP(C390, ①オッズ入力!$A$2:$A$19, ①オッズ入力!$D$2:$D$19, "")="", 0, _xlfn.XLOOKUP(C390, ①オッズ入力!$A$2:$A$19, ①オッズ入力!$D$2:$D$19, 0)), 0)</f>
        <v>1.7865013201518051E-2</v>
      </c>
      <c r="G390">
        <f t="shared" si="12"/>
        <v>26307.600288081485</v>
      </c>
      <c r="H390">
        <f>IF(G390="", 0, IF(OR(A390=③資金配分!$D$1, A390=③資金配分!$D$2, B390=③資金配分!$D$1, B390=③資金配分!$D$2, C390=③資金配分!$D$1, C390=③資金配分!$D$2), 0, IF(OR(A390=③資金配分!$D$4, A390=③資金配分!$D$5, A390=③資金配分!$D$6, B390=③資金配分!$D$4, B390=③資金配分!$D$5, B390=③資金配分!$D$6, C390=③資金配分!$D$4, C390=③資金配分!$D$5, C390=③資金配分!$D$6), 0, IF(AND(③資金配分!$B$8&gt;0, G390&lt;=③資金配分!$B$8), 1, 0))))</f>
        <v>0</v>
      </c>
      <c r="I390">
        <f t="shared" si="13"/>
        <v>0</v>
      </c>
      <c r="J390">
        <f>IF(I390&gt;0, ROUND((I390 / SUM($I$2:$I$817)) * ③資金配分!$B$7, -2), 0)</f>
        <v>0</v>
      </c>
    </row>
    <row r="391" spans="1:10" x14ac:dyDescent="0.4">
      <c r="A391">
        <v>4</v>
      </c>
      <c r="B391">
        <v>7</v>
      </c>
      <c r="C391">
        <v>11</v>
      </c>
      <c r="D391">
        <f>IFERROR(IF(_xlfn.XLOOKUP(A391, ①オッズ入力!$A$2:$A$19, ①オッズ入力!$D$2:$D$19, "")="", 0, _xlfn.XLOOKUP(A391, ①オッズ入力!$A$2:$A$19, ①オッズ入力!$D$2:$D$19, 0)), 0)</f>
        <v>7.1460052806072205E-2</v>
      </c>
      <c r="E391">
        <f>IFERROR(IF(_xlfn.XLOOKUP(B391, ①オッズ入力!$A$2:$A$19, ①オッズ入力!$D$2:$D$19, "")="", 0, _xlfn.XLOOKUP(B391, ①オッズ入力!$A$2:$A$19, ①オッズ入力!$D$2:$D$19, 0)), 0)</f>
        <v>2.9775022002530085E-2</v>
      </c>
      <c r="F391">
        <f>IFERROR(IF(_xlfn.XLOOKUP(C391, ①オッズ入力!$A$2:$A$19, ①オッズ入力!$D$2:$D$19, "")="", 0, _xlfn.XLOOKUP(C391, ①オッズ入力!$A$2:$A$19, ①オッズ入力!$D$2:$D$19, 0)), 0)</f>
        <v>1.6240921092289137E-2</v>
      </c>
      <c r="G391">
        <f t="shared" si="12"/>
        <v>28938.360316889633</v>
      </c>
      <c r="H391">
        <f>IF(G391="", 0, IF(OR(A391=③資金配分!$D$1, A391=③資金配分!$D$2, B391=③資金配分!$D$1, B391=③資金配分!$D$2, C391=③資金配分!$D$1, C391=③資金配分!$D$2), 0, IF(OR(A391=③資金配分!$D$4, A391=③資金配分!$D$5, A391=③資金配分!$D$6, B391=③資金配分!$D$4, B391=③資金配分!$D$5, B391=③資金配分!$D$6, C391=③資金配分!$D$4, C391=③資金配分!$D$5, C391=③資金配分!$D$6), 0, IF(AND(③資金配分!$B$8&gt;0, G391&lt;=③資金配分!$B$8), 1, 0))))</f>
        <v>0</v>
      </c>
      <c r="I391">
        <f t="shared" si="13"/>
        <v>0</v>
      </c>
      <c r="J391">
        <f>IF(I391&gt;0, ROUND((I391 / SUM($I$2:$I$817)) * ③資金配分!$B$7, -2), 0)</f>
        <v>0</v>
      </c>
    </row>
    <row r="392" spans="1:10" x14ac:dyDescent="0.4">
      <c r="A392">
        <v>4</v>
      </c>
      <c r="B392">
        <v>7</v>
      </c>
      <c r="C392">
        <v>12</v>
      </c>
      <c r="D392">
        <f>IFERROR(IF(_xlfn.XLOOKUP(A392, ①オッズ入力!$A$2:$A$19, ①オッズ入力!$D$2:$D$19, "")="", 0, _xlfn.XLOOKUP(A392, ①オッズ入力!$A$2:$A$19, ①オッズ入力!$D$2:$D$19, 0)), 0)</f>
        <v>7.1460052806072205E-2</v>
      </c>
      <c r="E392">
        <f>IFERROR(IF(_xlfn.XLOOKUP(B392, ①オッズ入力!$A$2:$A$19, ①オッズ入力!$D$2:$D$19, "")="", 0, _xlfn.XLOOKUP(B392, ①オッズ入力!$A$2:$A$19, ①オッズ入力!$D$2:$D$19, 0)), 0)</f>
        <v>2.9775022002530085E-2</v>
      </c>
      <c r="F392">
        <f>IFERROR(IF(_xlfn.XLOOKUP(C392, ①オッズ入力!$A$2:$A$19, ①オッズ入力!$D$2:$D$19, "")="", 0, _xlfn.XLOOKUP(C392, ①オッズ入力!$A$2:$A$19, ①オッズ入力!$D$2:$D$19, 0)), 0)</f>
        <v>1.4887511001265043E-2</v>
      </c>
      <c r="G392">
        <f t="shared" si="12"/>
        <v>31569.120345697786</v>
      </c>
      <c r="H392">
        <f>IF(G392="", 0, IF(OR(A392=③資金配分!$D$1, A392=③資金配分!$D$2, B392=③資金配分!$D$1, B392=③資金配分!$D$2, C392=③資金配分!$D$1, C392=③資金配分!$D$2), 0, IF(OR(A392=③資金配分!$D$4, A392=③資金配分!$D$5, A392=③資金配分!$D$6, B392=③資金配分!$D$4, B392=③資金配分!$D$5, B392=③資金配分!$D$6, C392=③資金配分!$D$4, C392=③資金配分!$D$5, C392=③資金配分!$D$6), 0, IF(AND(③資金配分!$B$8&gt;0, G392&lt;=③資金配分!$B$8), 1, 0))))</f>
        <v>0</v>
      </c>
      <c r="I392">
        <f t="shared" si="13"/>
        <v>0</v>
      </c>
      <c r="J392">
        <f>IF(I392&gt;0, ROUND((I392 / SUM($I$2:$I$817)) * ③資金配分!$B$7, -2), 0)</f>
        <v>0</v>
      </c>
    </row>
    <row r="393" spans="1:10" x14ac:dyDescent="0.4">
      <c r="A393">
        <v>4</v>
      </c>
      <c r="B393">
        <v>7</v>
      </c>
      <c r="C393">
        <v>13</v>
      </c>
      <c r="D393">
        <f>IFERROR(IF(_xlfn.XLOOKUP(A393, ①オッズ入力!$A$2:$A$19, ①オッズ入力!$D$2:$D$19, "")="", 0, _xlfn.XLOOKUP(A393, ①オッズ入力!$A$2:$A$19, ①オッズ入力!$D$2:$D$19, 0)), 0)</f>
        <v>7.1460052806072205E-2</v>
      </c>
      <c r="E393">
        <f>IFERROR(IF(_xlfn.XLOOKUP(B393, ①オッズ入力!$A$2:$A$19, ①オッズ入力!$D$2:$D$19, "")="", 0, _xlfn.XLOOKUP(B393, ①オッズ入力!$A$2:$A$19, ①オッズ入力!$D$2:$D$19, 0)), 0)</f>
        <v>2.9775022002530085E-2</v>
      </c>
      <c r="F393">
        <f>IFERROR(IF(_xlfn.XLOOKUP(C393, ①オッズ入力!$A$2:$A$19, ①オッズ入力!$D$2:$D$19, "")="", 0, _xlfn.XLOOKUP(C393, ①オッズ入力!$A$2:$A$19, ①オッズ入力!$D$2:$D$19, 0)), 0)</f>
        <v>1.2760723715370036E-2</v>
      </c>
      <c r="G393">
        <f t="shared" si="12"/>
        <v>36830.640403314079</v>
      </c>
      <c r="H393">
        <f>IF(G393="", 0, IF(OR(A393=③資金配分!$D$1, A393=③資金配分!$D$2, B393=③資金配分!$D$1, B393=③資金配分!$D$2, C393=③資金配分!$D$1, C393=③資金配分!$D$2), 0, IF(OR(A393=③資金配分!$D$4, A393=③資金配分!$D$5, A393=③資金配分!$D$6, B393=③資金配分!$D$4, B393=③資金配分!$D$5, B393=③資金配分!$D$6, C393=③資金配分!$D$4, C393=③資金配分!$D$5, C393=③資金配分!$D$6), 0, IF(AND(③資金配分!$B$8&gt;0, G393&lt;=③資金配分!$B$8), 1, 0))))</f>
        <v>0</v>
      </c>
      <c r="I393">
        <f t="shared" si="13"/>
        <v>0</v>
      </c>
      <c r="J393">
        <f>IF(I393&gt;0, ROUND((I393 / SUM($I$2:$I$817)) * ③資金配分!$B$7, -2), 0)</f>
        <v>0</v>
      </c>
    </row>
    <row r="394" spans="1:10" x14ac:dyDescent="0.4">
      <c r="A394">
        <v>4</v>
      </c>
      <c r="B394">
        <v>7</v>
      </c>
      <c r="C394">
        <v>14</v>
      </c>
      <c r="D394">
        <f>IFERROR(IF(_xlfn.XLOOKUP(A394, ①オッズ入力!$A$2:$A$19, ①オッズ入力!$D$2:$D$19, "")="", 0, _xlfn.XLOOKUP(A394, ①オッズ入力!$A$2:$A$19, ①オッズ入力!$D$2:$D$19, 0)), 0)</f>
        <v>7.1460052806072205E-2</v>
      </c>
      <c r="E394">
        <f>IFERROR(IF(_xlfn.XLOOKUP(B394, ①オッズ入力!$A$2:$A$19, ①オッズ入力!$D$2:$D$19, "")="", 0, _xlfn.XLOOKUP(B394, ①オッズ入力!$A$2:$A$19, ①オッズ入力!$D$2:$D$19, 0)), 0)</f>
        <v>2.9775022002530085E-2</v>
      </c>
      <c r="F394">
        <f>IFERROR(IF(_xlfn.XLOOKUP(C394, ①オッズ入力!$A$2:$A$19, ①オッズ入力!$D$2:$D$19, "")="", 0, _xlfn.XLOOKUP(C394, ①オッズ入力!$A$2:$A$19, ①オッズ入力!$D$2:$D$19, 0)), 0)</f>
        <v>1.1525814968721322E-2</v>
      </c>
      <c r="G394">
        <f t="shared" si="12"/>
        <v>40776.780446526303</v>
      </c>
      <c r="H394">
        <f>IF(G394="", 0, IF(OR(A394=③資金配分!$D$1, A394=③資金配分!$D$2, B394=③資金配分!$D$1, B394=③資金配分!$D$2, C394=③資金配分!$D$1, C394=③資金配分!$D$2), 0, IF(OR(A394=③資金配分!$D$4, A394=③資金配分!$D$5, A394=③資金配分!$D$6, B394=③資金配分!$D$4, B394=③資金配分!$D$5, B394=③資金配分!$D$6, C394=③資金配分!$D$4, C394=③資金配分!$D$5, C394=③資金配分!$D$6), 0, IF(AND(③資金配分!$B$8&gt;0, G394&lt;=③資金配分!$B$8), 1, 0))))</f>
        <v>0</v>
      </c>
      <c r="I394">
        <f t="shared" si="13"/>
        <v>0</v>
      </c>
      <c r="J394">
        <f>IF(I394&gt;0, ROUND((I394 / SUM($I$2:$I$817)) * ③資金配分!$B$7, -2), 0)</f>
        <v>0</v>
      </c>
    </row>
    <row r="395" spans="1:10" x14ac:dyDescent="0.4">
      <c r="A395">
        <v>4</v>
      </c>
      <c r="B395">
        <v>7</v>
      </c>
      <c r="C395">
        <v>15</v>
      </c>
      <c r="D395">
        <f>IFERROR(IF(_xlfn.XLOOKUP(A395, ①オッズ入力!$A$2:$A$19, ①オッズ入力!$D$2:$D$19, "")="", 0, _xlfn.XLOOKUP(A395, ①オッズ入力!$A$2:$A$19, ①オッズ入力!$D$2:$D$19, 0)), 0)</f>
        <v>7.1460052806072205E-2</v>
      </c>
      <c r="E395">
        <f>IFERROR(IF(_xlfn.XLOOKUP(B395, ①オッズ入力!$A$2:$A$19, ①オッズ入力!$D$2:$D$19, "")="", 0, _xlfn.XLOOKUP(B395, ①オッズ入力!$A$2:$A$19, ①オッズ入力!$D$2:$D$19, 0)), 0)</f>
        <v>2.9775022002530085E-2</v>
      </c>
      <c r="F395">
        <f>IFERROR(IF(_xlfn.XLOOKUP(C395, ①オッズ入力!$A$2:$A$19, ①オッズ入力!$D$2:$D$19, "")="", 0, _xlfn.XLOOKUP(C395, ①オッズ入力!$A$2:$A$19, ①オッズ入力!$D$2:$D$19, 0)), 0)</f>
        <v>1.0697612695519792E-2</v>
      </c>
      <c r="G395">
        <f t="shared" si="12"/>
        <v>43933.692481096085</v>
      </c>
      <c r="H395">
        <f>IF(G395="", 0, IF(OR(A395=③資金配分!$D$1, A395=③資金配分!$D$2, B395=③資金配分!$D$1, B395=③資金配分!$D$2, C395=③資金配分!$D$1, C395=③資金配分!$D$2), 0, IF(OR(A395=③資金配分!$D$4, A395=③資金配分!$D$5, A395=③資金配分!$D$6, B395=③資金配分!$D$4, B395=③資金配分!$D$5, B395=③資金配分!$D$6, C395=③資金配分!$D$4, C395=③資金配分!$D$5, C395=③資金配分!$D$6), 0, IF(AND(③資金配分!$B$8&gt;0, G395&lt;=③資金配分!$B$8), 1, 0))))</f>
        <v>0</v>
      </c>
      <c r="I395">
        <f t="shared" si="13"/>
        <v>0</v>
      </c>
      <c r="J395">
        <f>IF(I395&gt;0, ROUND((I395 / SUM($I$2:$I$817)) * ③資金配分!$B$7, -2), 0)</f>
        <v>0</v>
      </c>
    </row>
    <row r="396" spans="1:10" x14ac:dyDescent="0.4">
      <c r="A396">
        <v>4</v>
      </c>
      <c r="B396">
        <v>7</v>
      </c>
      <c r="C396">
        <v>16</v>
      </c>
      <c r="D396">
        <f>IFERROR(IF(_xlfn.XLOOKUP(A396, ①オッズ入力!$A$2:$A$19, ①オッズ入力!$D$2:$D$19, "")="", 0, _xlfn.XLOOKUP(A396, ①オッズ入力!$A$2:$A$19, ①オッズ入力!$D$2:$D$19, 0)), 0)</f>
        <v>7.1460052806072205E-2</v>
      </c>
      <c r="E396">
        <f>IFERROR(IF(_xlfn.XLOOKUP(B396, ①オッズ入力!$A$2:$A$19, ①オッズ入力!$D$2:$D$19, "")="", 0, _xlfn.XLOOKUP(B396, ①オッズ入力!$A$2:$A$19, ①オッズ入力!$D$2:$D$19, 0)), 0)</f>
        <v>2.9775022002530085E-2</v>
      </c>
      <c r="F396">
        <f>IFERROR(IF(_xlfn.XLOOKUP(C396, ①オッズ入力!$A$2:$A$19, ①オッズ入力!$D$2:$D$19, "")="", 0, _xlfn.XLOOKUP(C396, ①オッズ入力!$A$2:$A$19, ①オッズ入力!$D$2:$D$19, 0)), 0)</f>
        <v>9.8701730395127345E-3</v>
      </c>
      <c r="G396">
        <f t="shared" si="12"/>
        <v>47616.756521427495</v>
      </c>
      <c r="H396">
        <f>IF(G396="", 0, IF(OR(A396=③資金配分!$D$1, A396=③資金配分!$D$2, B396=③資金配分!$D$1, B396=③資金配分!$D$2, C396=③資金配分!$D$1, C396=③資金配分!$D$2), 0, IF(OR(A396=③資金配分!$D$4, A396=③資金配分!$D$5, A396=③資金配分!$D$6, B396=③資金配分!$D$4, B396=③資金配分!$D$5, B396=③資金配分!$D$6, C396=③資金配分!$D$4, C396=③資金配分!$D$5, C396=③資金配分!$D$6), 0, IF(AND(③資金配分!$B$8&gt;0, G396&lt;=③資金配分!$B$8), 1, 0))))</f>
        <v>0</v>
      </c>
      <c r="I396">
        <f t="shared" si="13"/>
        <v>0</v>
      </c>
      <c r="J396">
        <f>IF(I396&gt;0, ROUND((I396 / SUM($I$2:$I$817)) * ③資金配分!$B$7, -2), 0)</f>
        <v>0</v>
      </c>
    </row>
    <row r="397" spans="1:10" x14ac:dyDescent="0.4">
      <c r="A397">
        <v>4</v>
      </c>
      <c r="B397">
        <v>7</v>
      </c>
      <c r="C397">
        <v>17</v>
      </c>
      <c r="D397">
        <f>IFERROR(IF(_xlfn.XLOOKUP(A397, ①オッズ入力!$A$2:$A$19, ①オッズ入力!$D$2:$D$19, "")="", 0, _xlfn.XLOOKUP(A397, ①オッズ入力!$A$2:$A$19, ①オッズ入力!$D$2:$D$19, 0)), 0)</f>
        <v>7.1460052806072205E-2</v>
      </c>
      <c r="E397">
        <f>IFERROR(IF(_xlfn.XLOOKUP(B397, ①オッズ入力!$A$2:$A$19, ①オッズ入力!$D$2:$D$19, "")="", 0, _xlfn.XLOOKUP(B397, ①オッズ入力!$A$2:$A$19, ①オッズ入力!$D$2:$D$19, 0)), 0)</f>
        <v>2.9775022002530085E-2</v>
      </c>
      <c r="F397">
        <f>IFERROR(IF(_xlfn.XLOOKUP(C397, ①オッズ入力!$A$2:$A$19, ①オッズ入力!$D$2:$D$19, "")="", 0, _xlfn.XLOOKUP(C397, ①オッズ入力!$A$2:$A$19, ①オッズ入力!$D$2:$D$19, 0)), 0)</f>
        <v>9.1615452315477186E-3</v>
      </c>
      <c r="G397">
        <f t="shared" si="12"/>
        <v>51299.820561758897</v>
      </c>
      <c r="H397">
        <f>IF(G397="", 0, IF(OR(A397=③資金配分!$D$1, A397=③資金配分!$D$2, B397=③資金配分!$D$1, B397=③資金配分!$D$2, C397=③資金配分!$D$1, C397=③資金配分!$D$2), 0, IF(OR(A397=③資金配分!$D$4, A397=③資金配分!$D$5, A397=③資金配分!$D$6, B397=③資金配分!$D$4, B397=③資金配分!$D$5, B397=③資金配分!$D$6, C397=③資金配分!$D$4, C397=③資金配分!$D$5, C397=③資金配分!$D$6), 0, IF(AND(③資金配分!$B$8&gt;0, G397&lt;=③資金配分!$B$8), 1, 0))))</f>
        <v>0</v>
      </c>
      <c r="I397">
        <f t="shared" si="13"/>
        <v>0</v>
      </c>
      <c r="J397">
        <f>IF(I397&gt;0, ROUND((I397 / SUM($I$2:$I$817)) * ③資金配分!$B$7, -2), 0)</f>
        <v>0</v>
      </c>
    </row>
    <row r="398" spans="1:10" x14ac:dyDescent="0.4">
      <c r="A398">
        <v>4</v>
      </c>
      <c r="B398">
        <v>7</v>
      </c>
      <c r="C398">
        <v>18</v>
      </c>
      <c r="D398">
        <f>IFERROR(IF(_xlfn.XLOOKUP(A398, ①オッズ入力!$A$2:$A$19, ①オッズ入力!$D$2:$D$19, "")="", 0, _xlfn.XLOOKUP(A398, ①オッズ入力!$A$2:$A$19, ①オッズ入力!$D$2:$D$19, 0)), 0)</f>
        <v>7.1460052806072205E-2</v>
      </c>
      <c r="E398">
        <f>IFERROR(IF(_xlfn.XLOOKUP(B398, ①オッズ入力!$A$2:$A$19, ①オッズ入力!$D$2:$D$19, "")="", 0, _xlfn.XLOOKUP(B398, ①オッズ入力!$A$2:$A$19, ①オッズ入力!$D$2:$D$19, 0)), 0)</f>
        <v>2.9775022002530085E-2</v>
      </c>
      <c r="F398">
        <f>IFERROR(IF(_xlfn.XLOOKUP(C398, ①オッズ入力!$A$2:$A$19, ①オッズ入力!$D$2:$D$19, "")="", 0, _xlfn.XLOOKUP(C398, ①オッズ入力!$A$2:$A$19, ①オッズ入力!$D$2:$D$19, 0)), 0)</f>
        <v>8.5478532064679671E-3</v>
      </c>
      <c r="G398">
        <f t="shared" si="12"/>
        <v>54982.884602090307</v>
      </c>
      <c r="H398">
        <f>IF(G398="", 0, IF(OR(A398=③資金配分!$D$1, A398=③資金配分!$D$2, B398=③資金配分!$D$1, B398=③資金配分!$D$2, C398=③資金配分!$D$1, C398=③資金配分!$D$2), 0, IF(OR(A398=③資金配分!$D$4, A398=③資金配分!$D$5, A398=③資金配分!$D$6, B398=③資金配分!$D$4, B398=③資金配分!$D$5, B398=③資金配分!$D$6, C398=③資金配分!$D$4, C398=③資金配分!$D$5, C398=③資金配分!$D$6), 0, IF(AND(③資金配分!$B$8&gt;0, G398&lt;=③資金配分!$B$8), 1, 0))))</f>
        <v>0</v>
      </c>
      <c r="I398">
        <f t="shared" si="13"/>
        <v>0</v>
      </c>
      <c r="J398">
        <f>IF(I398&gt;0, ROUND((I398 / SUM($I$2:$I$817)) * ③資金配分!$B$7, -2), 0)</f>
        <v>0</v>
      </c>
    </row>
    <row r="399" spans="1:10" x14ac:dyDescent="0.4">
      <c r="A399">
        <v>4</v>
      </c>
      <c r="B399">
        <v>8</v>
      </c>
      <c r="C399">
        <v>9</v>
      </c>
      <c r="D399">
        <f>IFERROR(IF(_xlfn.XLOOKUP(A399, ①オッズ入力!$A$2:$A$19, ①オッズ入力!$D$2:$D$19, "")="", 0, _xlfn.XLOOKUP(A399, ①オッズ入力!$A$2:$A$19, ①オッズ入力!$D$2:$D$19, 0)), 0)</f>
        <v>7.1460052806072205E-2</v>
      </c>
      <c r="E399">
        <f>IFERROR(IF(_xlfn.XLOOKUP(B399, ①オッズ入力!$A$2:$A$19, ①オッズ入力!$D$2:$D$19, "")="", 0, _xlfn.XLOOKUP(B399, ①オッズ入力!$A$2:$A$19, ①オッズ入力!$D$2:$D$19, 0)), 0)</f>
        <v>2.3820017602024068E-2</v>
      </c>
      <c r="F399">
        <f>IFERROR(IF(_xlfn.XLOOKUP(C399, ①オッズ入力!$A$2:$A$19, ①オッズ入力!$D$2:$D$19, "")="", 0, _xlfn.XLOOKUP(C399, ①オッズ入力!$A$2:$A$19, ①オッズ入力!$D$2:$D$19, 0)), 0)</f>
        <v>1.9850014668353389E-2</v>
      </c>
      <c r="G399">
        <f t="shared" si="12"/>
        <v>29596.05032409167</v>
      </c>
      <c r="H399">
        <f>IF(G399="", 0, IF(OR(A399=③資金配分!$D$1, A399=③資金配分!$D$2, B399=③資金配分!$D$1, B399=③資金配分!$D$2, C399=③資金配分!$D$1, C399=③資金配分!$D$2), 0, IF(OR(A399=③資金配分!$D$4, A399=③資金配分!$D$5, A399=③資金配分!$D$6, B399=③資金配分!$D$4, B399=③資金配分!$D$5, B399=③資金配分!$D$6, C399=③資金配分!$D$4, C399=③資金配分!$D$5, C399=③資金配分!$D$6), 0, IF(AND(③資金配分!$B$8&gt;0, G399&lt;=③資金配分!$B$8), 1, 0))))</f>
        <v>0</v>
      </c>
      <c r="I399">
        <f t="shared" si="13"/>
        <v>0</v>
      </c>
      <c r="J399">
        <f>IF(I399&gt;0, ROUND((I399 / SUM($I$2:$I$817)) * ③資金配分!$B$7, -2), 0)</f>
        <v>0</v>
      </c>
    </row>
    <row r="400" spans="1:10" x14ac:dyDescent="0.4">
      <c r="A400">
        <v>4</v>
      </c>
      <c r="B400">
        <v>8</v>
      </c>
      <c r="C400">
        <v>10</v>
      </c>
      <c r="D400">
        <f>IFERROR(IF(_xlfn.XLOOKUP(A400, ①オッズ入力!$A$2:$A$19, ①オッズ入力!$D$2:$D$19, "")="", 0, _xlfn.XLOOKUP(A400, ①オッズ入力!$A$2:$A$19, ①オッズ入力!$D$2:$D$19, 0)), 0)</f>
        <v>7.1460052806072205E-2</v>
      </c>
      <c r="E400">
        <f>IFERROR(IF(_xlfn.XLOOKUP(B400, ①オッズ入力!$A$2:$A$19, ①オッズ入力!$D$2:$D$19, "")="", 0, _xlfn.XLOOKUP(B400, ①オッズ入力!$A$2:$A$19, ①オッズ入力!$D$2:$D$19, 0)), 0)</f>
        <v>2.3820017602024068E-2</v>
      </c>
      <c r="F400">
        <f>IFERROR(IF(_xlfn.XLOOKUP(C400, ①オッズ入力!$A$2:$A$19, ①オッズ入力!$D$2:$D$19, "")="", 0, _xlfn.XLOOKUP(C400, ①オッズ入力!$A$2:$A$19, ①オッズ入力!$D$2:$D$19, 0)), 0)</f>
        <v>1.7865013201518051E-2</v>
      </c>
      <c r="G400">
        <f t="shared" si="12"/>
        <v>32884.500360101854</v>
      </c>
      <c r="H400">
        <f>IF(G400="", 0, IF(OR(A400=③資金配分!$D$1, A400=③資金配分!$D$2, B400=③資金配分!$D$1, B400=③資金配分!$D$2, C400=③資金配分!$D$1, C400=③資金配分!$D$2), 0, IF(OR(A400=③資金配分!$D$4, A400=③資金配分!$D$5, A400=③資金配分!$D$6, B400=③資金配分!$D$4, B400=③資金配分!$D$5, B400=③資金配分!$D$6, C400=③資金配分!$D$4, C400=③資金配分!$D$5, C400=③資金配分!$D$6), 0, IF(AND(③資金配分!$B$8&gt;0, G400&lt;=③資金配分!$B$8), 1, 0))))</f>
        <v>0</v>
      </c>
      <c r="I400">
        <f t="shared" si="13"/>
        <v>0</v>
      </c>
      <c r="J400">
        <f>IF(I400&gt;0, ROUND((I400 / SUM($I$2:$I$817)) * ③資金配分!$B$7, -2), 0)</f>
        <v>0</v>
      </c>
    </row>
    <row r="401" spans="1:10" x14ac:dyDescent="0.4">
      <c r="A401">
        <v>4</v>
      </c>
      <c r="B401">
        <v>8</v>
      </c>
      <c r="C401">
        <v>11</v>
      </c>
      <c r="D401">
        <f>IFERROR(IF(_xlfn.XLOOKUP(A401, ①オッズ入力!$A$2:$A$19, ①オッズ入力!$D$2:$D$19, "")="", 0, _xlfn.XLOOKUP(A401, ①オッズ入力!$A$2:$A$19, ①オッズ入力!$D$2:$D$19, 0)), 0)</f>
        <v>7.1460052806072205E-2</v>
      </c>
      <c r="E401">
        <f>IFERROR(IF(_xlfn.XLOOKUP(B401, ①オッズ入力!$A$2:$A$19, ①オッズ入力!$D$2:$D$19, "")="", 0, _xlfn.XLOOKUP(B401, ①オッズ入力!$A$2:$A$19, ①オッズ入力!$D$2:$D$19, 0)), 0)</f>
        <v>2.3820017602024068E-2</v>
      </c>
      <c r="F401">
        <f>IFERROR(IF(_xlfn.XLOOKUP(C401, ①オッズ入力!$A$2:$A$19, ①オッズ入力!$D$2:$D$19, "")="", 0, _xlfn.XLOOKUP(C401, ①オッズ入力!$A$2:$A$19, ①オッズ入力!$D$2:$D$19, 0)), 0)</f>
        <v>1.6240921092289137E-2</v>
      </c>
      <c r="G401">
        <f t="shared" si="12"/>
        <v>36172.950396112043</v>
      </c>
      <c r="H401">
        <f>IF(G401="", 0, IF(OR(A401=③資金配分!$D$1, A401=③資金配分!$D$2, B401=③資金配分!$D$1, B401=③資金配分!$D$2, C401=③資金配分!$D$1, C401=③資金配分!$D$2), 0, IF(OR(A401=③資金配分!$D$4, A401=③資金配分!$D$5, A401=③資金配分!$D$6, B401=③資金配分!$D$4, B401=③資金配分!$D$5, B401=③資金配分!$D$6, C401=③資金配分!$D$4, C401=③資金配分!$D$5, C401=③資金配分!$D$6), 0, IF(AND(③資金配分!$B$8&gt;0, G401&lt;=③資金配分!$B$8), 1, 0))))</f>
        <v>0</v>
      </c>
      <c r="I401">
        <f t="shared" si="13"/>
        <v>0</v>
      </c>
      <c r="J401">
        <f>IF(I401&gt;0, ROUND((I401 / SUM($I$2:$I$817)) * ③資金配分!$B$7, -2), 0)</f>
        <v>0</v>
      </c>
    </row>
    <row r="402" spans="1:10" x14ac:dyDescent="0.4">
      <c r="A402">
        <v>4</v>
      </c>
      <c r="B402">
        <v>8</v>
      </c>
      <c r="C402">
        <v>12</v>
      </c>
      <c r="D402">
        <f>IFERROR(IF(_xlfn.XLOOKUP(A402, ①オッズ入力!$A$2:$A$19, ①オッズ入力!$D$2:$D$19, "")="", 0, _xlfn.XLOOKUP(A402, ①オッズ入力!$A$2:$A$19, ①オッズ入力!$D$2:$D$19, 0)), 0)</f>
        <v>7.1460052806072205E-2</v>
      </c>
      <c r="E402">
        <f>IFERROR(IF(_xlfn.XLOOKUP(B402, ①オッズ入力!$A$2:$A$19, ①オッズ入力!$D$2:$D$19, "")="", 0, _xlfn.XLOOKUP(B402, ①オッズ入力!$A$2:$A$19, ①オッズ入力!$D$2:$D$19, 0)), 0)</f>
        <v>2.3820017602024068E-2</v>
      </c>
      <c r="F402">
        <f>IFERROR(IF(_xlfn.XLOOKUP(C402, ①オッズ入力!$A$2:$A$19, ①オッズ入力!$D$2:$D$19, "")="", 0, _xlfn.XLOOKUP(C402, ①オッズ入力!$A$2:$A$19, ①オッズ入力!$D$2:$D$19, 0)), 0)</f>
        <v>1.4887511001265043E-2</v>
      </c>
      <c r="G402">
        <f t="shared" si="12"/>
        <v>39461.400432122231</v>
      </c>
      <c r="H402">
        <f>IF(G402="", 0, IF(OR(A402=③資金配分!$D$1, A402=③資金配分!$D$2, B402=③資金配分!$D$1, B402=③資金配分!$D$2, C402=③資金配分!$D$1, C402=③資金配分!$D$2), 0, IF(OR(A402=③資金配分!$D$4, A402=③資金配分!$D$5, A402=③資金配分!$D$6, B402=③資金配分!$D$4, B402=③資金配分!$D$5, B402=③資金配分!$D$6, C402=③資金配分!$D$4, C402=③資金配分!$D$5, C402=③資金配分!$D$6), 0, IF(AND(③資金配分!$B$8&gt;0, G402&lt;=③資金配分!$B$8), 1, 0))))</f>
        <v>0</v>
      </c>
      <c r="I402">
        <f t="shared" si="13"/>
        <v>0</v>
      </c>
      <c r="J402">
        <f>IF(I402&gt;0, ROUND((I402 / SUM($I$2:$I$817)) * ③資金配分!$B$7, -2), 0)</f>
        <v>0</v>
      </c>
    </row>
    <row r="403" spans="1:10" x14ac:dyDescent="0.4">
      <c r="A403">
        <v>4</v>
      </c>
      <c r="B403">
        <v>8</v>
      </c>
      <c r="C403">
        <v>13</v>
      </c>
      <c r="D403">
        <f>IFERROR(IF(_xlfn.XLOOKUP(A403, ①オッズ入力!$A$2:$A$19, ①オッズ入力!$D$2:$D$19, "")="", 0, _xlfn.XLOOKUP(A403, ①オッズ入力!$A$2:$A$19, ①オッズ入力!$D$2:$D$19, 0)), 0)</f>
        <v>7.1460052806072205E-2</v>
      </c>
      <c r="E403">
        <f>IFERROR(IF(_xlfn.XLOOKUP(B403, ①オッズ入力!$A$2:$A$19, ①オッズ入力!$D$2:$D$19, "")="", 0, _xlfn.XLOOKUP(B403, ①オッズ入力!$A$2:$A$19, ①オッズ入力!$D$2:$D$19, 0)), 0)</f>
        <v>2.3820017602024068E-2</v>
      </c>
      <c r="F403">
        <f>IFERROR(IF(_xlfn.XLOOKUP(C403, ①オッズ入力!$A$2:$A$19, ①オッズ入力!$D$2:$D$19, "")="", 0, _xlfn.XLOOKUP(C403, ①オッズ入力!$A$2:$A$19, ①オッズ入力!$D$2:$D$19, 0)), 0)</f>
        <v>1.2760723715370036E-2</v>
      </c>
      <c r="G403">
        <f t="shared" si="12"/>
        <v>46038.3005041426</v>
      </c>
      <c r="H403">
        <f>IF(G403="", 0, IF(OR(A403=③資金配分!$D$1, A403=③資金配分!$D$2, B403=③資金配分!$D$1, B403=③資金配分!$D$2, C403=③資金配分!$D$1, C403=③資金配分!$D$2), 0, IF(OR(A403=③資金配分!$D$4, A403=③資金配分!$D$5, A403=③資金配分!$D$6, B403=③資金配分!$D$4, B403=③資金配分!$D$5, B403=③資金配分!$D$6, C403=③資金配分!$D$4, C403=③資金配分!$D$5, C403=③資金配分!$D$6), 0, IF(AND(③資金配分!$B$8&gt;0, G403&lt;=③資金配分!$B$8), 1, 0))))</f>
        <v>0</v>
      </c>
      <c r="I403">
        <f t="shared" si="13"/>
        <v>0</v>
      </c>
      <c r="J403">
        <f>IF(I403&gt;0, ROUND((I403 / SUM($I$2:$I$817)) * ③資金配分!$B$7, -2), 0)</f>
        <v>0</v>
      </c>
    </row>
    <row r="404" spans="1:10" x14ac:dyDescent="0.4">
      <c r="A404">
        <v>4</v>
      </c>
      <c r="B404">
        <v>8</v>
      </c>
      <c r="C404">
        <v>14</v>
      </c>
      <c r="D404">
        <f>IFERROR(IF(_xlfn.XLOOKUP(A404, ①オッズ入力!$A$2:$A$19, ①オッズ入力!$D$2:$D$19, "")="", 0, _xlfn.XLOOKUP(A404, ①オッズ入力!$A$2:$A$19, ①オッズ入力!$D$2:$D$19, 0)), 0)</f>
        <v>7.1460052806072205E-2</v>
      </c>
      <c r="E404">
        <f>IFERROR(IF(_xlfn.XLOOKUP(B404, ①オッズ入力!$A$2:$A$19, ①オッズ入力!$D$2:$D$19, "")="", 0, _xlfn.XLOOKUP(B404, ①オッズ入力!$A$2:$A$19, ①オッズ入力!$D$2:$D$19, 0)), 0)</f>
        <v>2.3820017602024068E-2</v>
      </c>
      <c r="F404">
        <f>IFERROR(IF(_xlfn.XLOOKUP(C404, ①オッズ入力!$A$2:$A$19, ①オッズ入力!$D$2:$D$19, "")="", 0, _xlfn.XLOOKUP(C404, ①オッズ入力!$A$2:$A$19, ①オッズ入力!$D$2:$D$19, 0)), 0)</f>
        <v>1.1525814968721322E-2</v>
      </c>
      <c r="G404">
        <f t="shared" si="12"/>
        <v>50970.975558157879</v>
      </c>
      <c r="H404">
        <f>IF(G404="", 0, IF(OR(A404=③資金配分!$D$1, A404=③資金配分!$D$2, B404=③資金配分!$D$1, B404=③資金配分!$D$2, C404=③資金配分!$D$1, C404=③資金配分!$D$2), 0, IF(OR(A404=③資金配分!$D$4, A404=③資金配分!$D$5, A404=③資金配分!$D$6, B404=③資金配分!$D$4, B404=③資金配分!$D$5, B404=③資金配分!$D$6, C404=③資金配分!$D$4, C404=③資金配分!$D$5, C404=③資金配分!$D$6), 0, IF(AND(③資金配分!$B$8&gt;0, G404&lt;=③資金配分!$B$8), 1, 0))))</f>
        <v>0</v>
      </c>
      <c r="I404">
        <f t="shared" si="13"/>
        <v>0</v>
      </c>
      <c r="J404">
        <f>IF(I404&gt;0, ROUND((I404 / SUM($I$2:$I$817)) * ③資金配分!$B$7, -2), 0)</f>
        <v>0</v>
      </c>
    </row>
    <row r="405" spans="1:10" x14ac:dyDescent="0.4">
      <c r="A405">
        <v>4</v>
      </c>
      <c r="B405">
        <v>8</v>
      </c>
      <c r="C405">
        <v>15</v>
      </c>
      <c r="D405">
        <f>IFERROR(IF(_xlfn.XLOOKUP(A405, ①オッズ入力!$A$2:$A$19, ①オッズ入力!$D$2:$D$19, "")="", 0, _xlfn.XLOOKUP(A405, ①オッズ入力!$A$2:$A$19, ①オッズ入力!$D$2:$D$19, 0)), 0)</f>
        <v>7.1460052806072205E-2</v>
      </c>
      <c r="E405">
        <f>IFERROR(IF(_xlfn.XLOOKUP(B405, ①オッズ入力!$A$2:$A$19, ①オッズ入力!$D$2:$D$19, "")="", 0, _xlfn.XLOOKUP(B405, ①オッズ入力!$A$2:$A$19, ①オッズ入力!$D$2:$D$19, 0)), 0)</f>
        <v>2.3820017602024068E-2</v>
      </c>
      <c r="F405">
        <f>IFERROR(IF(_xlfn.XLOOKUP(C405, ①オッズ入力!$A$2:$A$19, ①オッズ入力!$D$2:$D$19, "")="", 0, _xlfn.XLOOKUP(C405, ①オッズ入力!$A$2:$A$19, ①オッズ入力!$D$2:$D$19, 0)), 0)</f>
        <v>1.0697612695519792E-2</v>
      </c>
      <c r="G405">
        <f t="shared" si="12"/>
        <v>54917.115601370097</v>
      </c>
      <c r="H405">
        <f>IF(G405="", 0, IF(OR(A405=③資金配分!$D$1, A405=③資金配分!$D$2, B405=③資金配分!$D$1, B405=③資金配分!$D$2, C405=③資金配分!$D$1, C405=③資金配分!$D$2), 0, IF(OR(A405=③資金配分!$D$4, A405=③資金配分!$D$5, A405=③資金配分!$D$6, B405=③資金配分!$D$4, B405=③資金配分!$D$5, B405=③資金配分!$D$6, C405=③資金配分!$D$4, C405=③資金配分!$D$5, C405=③資金配分!$D$6), 0, IF(AND(③資金配分!$B$8&gt;0, G405&lt;=③資金配分!$B$8), 1, 0))))</f>
        <v>0</v>
      </c>
      <c r="I405">
        <f t="shared" si="13"/>
        <v>0</v>
      </c>
      <c r="J405">
        <f>IF(I405&gt;0, ROUND((I405 / SUM($I$2:$I$817)) * ③資金配分!$B$7, -2), 0)</f>
        <v>0</v>
      </c>
    </row>
    <row r="406" spans="1:10" x14ac:dyDescent="0.4">
      <c r="A406">
        <v>4</v>
      </c>
      <c r="B406">
        <v>8</v>
      </c>
      <c r="C406">
        <v>16</v>
      </c>
      <c r="D406">
        <f>IFERROR(IF(_xlfn.XLOOKUP(A406, ①オッズ入力!$A$2:$A$19, ①オッズ入力!$D$2:$D$19, "")="", 0, _xlfn.XLOOKUP(A406, ①オッズ入力!$A$2:$A$19, ①オッズ入力!$D$2:$D$19, 0)), 0)</f>
        <v>7.1460052806072205E-2</v>
      </c>
      <c r="E406">
        <f>IFERROR(IF(_xlfn.XLOOKUP(B406, ①オッズ入力!$A$2:$A$19, ①オッズ入力!$D$2:$D$19, "")="", 0, _xlfn.XLOOKUP(B406, ①オッズ入力!$A$2:$A$19, ①オッズ入力!$D$2:$D$19, 0)), 0)</f>
        <v>2.3820017602024068E-2</v>
      </c>
      <c r="F406">
        <f>IFERROR(IF(_xlfn.XLOOKUP(C406, ①オッズ入力!$A$2:$A$19, ①オッズ入力!$D$2:$D$19, "")="", 0, _xlfn.XLOOKUP(C406, ①オッズ入力!$A$2:$A$19, ①オッズ入力!$D$2:$D$19, 0)), 0)</f>
        <v>9.8701730395127345E-3</v>
      </c>
      <c r="G406">
        <f t="shared" si="12"/>
        <v>59520.945651784365</v>
      </c>
      <c r="H406">
        <f>IF(G406="", 0, IF(OR(A406=③資金配分!$D$1, A406=③資金配分!$D$2, B406=③資金配分!$D$1, B406=③資金配分!$D$2, C406=③資金配分!$D$1, C406=③資金配分!$D$2), 0, IF(OR(A406=③資金配分!$D$4, A406=③資金配分!$D$5, A406=③資金配分!$D$6, B406=③資金配分!$D$4, B406=③資金配分!$D$5, B406=③資金配分!$D$6, C406=③資金配分!$D$4, C406=③資金配分!$D$5, C406=③資金配分!$D$6), 0, IF(AND(③資金配分!$B$8&gt;0, G406&lt;=③資金配分!$B$8), 1, 0))))</f>
        <v>0</v>
      </c>
      <c r="I406">
        <f t="shared" si="13"/>
        <v>0</v>
      </c>
      <c r="J406">
        <f>IF(I406&gt;0, ROUND((I406 / SUM($I$2:$I$817)) * ③資金配分!$B$7, -2), 0)</f>
        <v>0</v>
      </c>
    </row>
    <row r="407" spans="1:10" x14ac:dyDescent="0.4">
      <c r="A407">
        <v>4</v>
      </c>
      <c r="B407">
        <v>8</v>
      </c>
      <c r="C407">
        <v>17</v>
      </c>
      <c r="D407">
        <f>IFERROR(IF(_xlfn.XLOOKUP(A407, ①オッズ入力!$A$2:$A$19, ①オッズ入力!$D$2:$D$19, "")="", 0, _xlfn.XLOOKUP(A407, ①オッズ入力!$A$2:$A$19, ①オッズ入力!$D$2:$D$19, 0)), 0)</f>
        <v>7.1460052806072205E-2</v>
      </c>
      <c r="E407">
        <f>IFERROR(IF(_xlfn.XLOOKUP(B407, ①オッズ入力!$A$2:$A$19, ①オッズ入力!$D$2:$D$19, "")="", 0, _xlfn.XLOOKUP(B407, ①オッズ入力!$A$2:$A$19, ①オッズ入力!$D$2:$D$19, 0)), 0)</f>
        <v>2.3820017602024068E-2</v>
      </c>
      <c r="F407">
        <f>IFERROR(IF(_xlfn.XLOOKUP(C407, ①オッズ入力!$A$2:$A$19, ①オッズ入力!$D$2:$D$19, "")="", 0, _xlfn.XLOOKUP(C407, ①オッズ入力!$A$2:$A$19, ①オッズ入力!$D$2:$D$19, 0)), 0)</f>
        <v>9.1615452315477186E-3</v>
      </c>
      <c r="G407">
        <f t="shared" si="12"/>
        <v>64124.775702198618</v>
      </c>
      <c r="H407">
        <f>IF(G407="", 0, IF(OR(A407=③資金配分!$D$1, A407=③資金配分!$D$2, B407=③資金配分!$D$1, B407=③資金配分!$D$2, C407=③資金配分!$D$1, C407=③資金配分!$D$2), 0, IF(OR(A407=③資金配分!$D$4, A407=③資金配分!$D$5, A407=③資金配分!$D$6, B407=③資金配分!$D$4, B407=③資金配分!$D$5, B407=③資金配分!$D$6, C407=③資金配分!$D$4, C407=③資金配分!$D$5, C407=③資金配分!$D$6), 0, IF(AND(③資金配分!$B$8&gt;0, G407&lt;=③資金配分!$B$8), 1, 0))))</f>
        <v>0</v>
      </c>
      <c r="I407">
        <f t="shared" si="13"/>
        <v>0</v>
      </c>
      <c r="J407">
        <f>IF(I407&gt;0, ROUND((I407 / SUM($I$2:$I$817)) * ③資金配分!$B$7, -2), 0)</f>
        <v>0</v>
      </c>
    </row>
    <row r="408" spans="1:10" x14ac:dyDescent="0.4">
      <c r="A408">
        <v>4</v>
      </c>
      <c r="B408">
        <v>8</v>
      </c>
      <c r="C408">
        <v>18</v>
      </c>
      <c r="D408">
        <f>IFERROR(IF(_xlfn.XLOOKUP(A408, ①オッズ入力!$A$2:$A$19, ①オッズ入力!$D$2:$D$19, "")="", 0, _xlfn.XLOOKUP(A408, ①オッズ入力!$A$2:$A$19, ①オッズ入力!$D$2:$D$19, 0)), 0)</f>
        <v>7.1460052806072205E-2</v>
      </c>
      <c r="E408">
        <f>IFERROR(IF(_xlfn.XLOOKUP(B408, ①オッズ入力!$A$2:$A$19, ①オッズ入力!$D$2:$D$19, "")="", 0, _xlfn.XLOOKUP(B408, ①オッズ入力!$A$2:$A$19, ①オッズ入力!$D$2:$D$19, 0)), 0)</f>
        <v>2.3820017602024068E-2</v>
      </c>
      <c r="F408">
        <f>IFERROR(IF(_xlfn.XLOOKUP(C408, ①オッズ入力!$A$2:$A$19, ①オッズ入力!$D$2:$D$19, "")="", 0, _xlfn.XLOOKUP(C408, ①オッズ入力!$A$2:$A$19, ①オッズ入力!$D$2:$D$19, 0)), 0)</f>
        <v>8.5478532064679671E-3</v>
      </c>
      <c r="G408">
        <f t="shared" si="12"/>
        <v>68728.605752612886</v>
      </c>
      <c r="H408">
        <f>IF(G408="", 0, IF(OR(A408=③資金配分!$D$1, A408=③資金配分!$D$2, B408=③資金配分!$D$1, B408=③資金配分!$D$2, C408=③資金配分!$D$1, C408=③資金配分!$D$2), 0, IF(OR(A408=③資金配分!$D$4, A408=③資金配分!$D$5, A408=③資金配分!$D$6, B408=③資金配分!$D$4, B408=③資金配分!$D$5, B408=③資金配分!$D$6, C408=③資金配分!$D$4, C408=③資金配分!$D$5, C408=③資金配分!$D$6), 0, IF(AND(③資金配分!$B$8&gt;0, G408&lt;=③資金配分!$B$8), 1, 0))))</f>
        <v>0</v>
      </c>
      <c r="I408">
        <f t="shared" si="13"/>
        <v>0</v>
      </c>
      <c r="J408">
        <f>IF(I408&gt;0, ROUND((I408 / SUM($I$2:$I$817)) * ③資金配分!$B$7, -2), 0)</f>
        <v>0</v>
      </c>
    </row>
    <row r="409" spans="1:10" x14ac:dyDescent="0.4">
      <c r="A409">
        <v>4</v>
      </c>
      <c r="B409">
        <v>9</v>
      </c>
      <c r="C409">
        <v>10</v>
      </c>
      <c r="D409">
        <f>IFERROR(IF(_xlfn.XLOOKUP(A409, ①オッズ入力!$A$2:$A$19, ①オッズ入力!$D$2:$D$19, "")="", 0, _xlfn.XLOOKUP(A409, ①オッズ入力!$A$2:$A$19, ①オッズ入力!$D$2:$D$19, 0)), 0)</f>
        <v>7.1460052806072205E-2</v>
      </c>
      <c r="E409">
        <f>IFERROR(IF(_xlfn.XLOOKUP(B409, ①オッズ入力!$A$2:$A$19, ①オッズ入力!$D$2:$D$19, "")="", 0, _xlfn.XLOOKUP(B409, ①オッズ入力!$A$2:$A$19, ①オッズ入力!$D$2:$D$19, 0)), 0)</f>
        <v>1.9850014668353389E-2</v>
      </c>
      <c r="F409">
        <f>IFERROR(IF(_xlfn.XLOOKUP(C409, ①オッズ入力!$A$2:$A$19, ①オッズ入力!$D$2:$D$19, "")="", 0, _xlfn.XLOOKUP(C409, ①オッズ入力!$A$2:$A$19, ①オッズ入力!$D$2:$D$19, 0)), 0)</f>
        <v>1.7865013201518051E-2</v>
      </c>
      <c r="G409">
        <f t="shared" si="12"/>
        <v>39461.400432122231</v>
      </c>
      <c r="H409">
        <f>IF(G409="", 0, IF(OR(A409=③資金配分!$D$1, A409=③資金配分!$D$2, B409=③資金配分!$D$1, B409=③資金配分!$D$2, C409=③資金配分!$D$1, C409=③資金配分!$D$2), 0, IF(OR(A409=③資金配分!$D$4, A409=③資金配分!$D$5, A409=③資金配分!$D$6, B409=③資金配分!$D$4, B409=③資金配分!$D$5, B409=③資金配分!$D$6, C409=③資金配分!$D$4, C409=③資金配分!$D$5, C409=③資金配分!$D$6), 0, IF(AND(③資金配分!$B$8&gt;0, G409&lt;=③資金配分!$B$8), 1, 0))))</f>
        <v>0</v>
      </c>
      <c r="I409">
        <f t="shared" si="13"/>
        <v>0</v>
      </c>
      <c r="J409">
        <f>IF(I409&gt;0, ROUND((I409 / SUM($I$2:$I$817)) * ③資金配分!$B$7, -2), 0)</f>
        <v>0</v>
      </c>
    </row>
    <row r="410" spans="1:10" x14ac:dyDescent="0.4">
      <c r="A410">
        <v>4</v>
      </c>
      <c r="B410">
        <v>9</v>
      </c>
      <c r="C410">
        <v>11</v>
      </c>
      <c r="D410">
        <f>IFERROR(IF(_xlfn.XLOOKUP(A410, ①オッズ入力!$A$2:$A$19, ①オッズ入力!$D$2:$D$19, "")="", 0, _xlfn.XLOOKUP(A410, ①オッズ入力!$A$2:$A$19, ①オッズ入力!$D$2:$D$19, 0)), 0)</f>
        <v>7.1460052806072205E-2</v>
      </c>
      <c r="E410">
        <f>IFERROR(IF(_xlfn.XLOOKUP(B410, ①オッズ入力!$A$2:$A$19, ①オッズ入力!$D$2:$D$19, "")="", 0, _xlfn.XLOOKUP(B410, ①オッズ入力!$A$2:$A$19, ①オッズ入力!$D$2:$D$19, 0)), 0)</f>
        <v>1.9850014668353389E-2</v>
      </c>
      <c r="F410">
        <f>IFERROR(IF(_xlfn.XLOOKUP(C410, ①オッズ入力!$A$2:$A$19, ①オッズ入力!$D$2:$D$19, "")="", 0, _xlfn.XLOOKUP(C410, ①オッズ入力!$A$2:$A$19, ①オッズ入力!$D$2:$D$19, 0)), 0)</f>
        <v>1.6240921092289137E-2</v>
      </c>
      <c r="G410">
        <f t="shared" si="12"/>
        <v>43407.540475334448</v>
      </c>
      <c r="H410">
        <f>IF(G410="", 0, IF(OR(A410=③資金配分!$D$1, A410=③資金配分!$D$2, B410=③資金配分!$D$1, B410=③資金配分!$D$2, C410=③資金配分!$D$1, C410=③資金配分!$D$2), 0, IF(OR(A410=③資金配分!$D$4, A410=③資金配分!$D$5, A410=③資金配分!$D$6, B410=③資金配分!$D$4, B410=③資金配分!$D$5, B410=③資金配分!$D$6, C410=③資金配分!$D$4, C410=③資金配分!$D$5, C410=③資金配分!$D$6), 0, IF(AND(③資金配分!$B$8&gt;0, G410&lt;=③資金配分!$B$8), 1, 0))))</f>
        <v>0</v>
      </c>
      <c r="I410">
        <f t="shared" si="13"/>
        <v>0</v>
      </c>
      <c r="J410">
        <f>IF(I410&gt;0, ROUND((I410 / SUM($I$2:$I$817)) * ③資金配分!$B$7, -2), 0)</f>
        <v>0</v>
      </c>
    </row>
    <row r="411" spans="1:10" x14ac:dyDescent="0.4">
      <c r="A411">
        <v>4</v>
      </c>
      <c r="B411">
        <v>9</v>
      </c>
      <c r="C411">
        <v>12</v>
      </c>
      <c r="D411">
        <f>IFERROR(IF(_xlfn.XLOOKUP(A411, ①オッズ入力!$A$2:$A$19, ①オッズ入力!$D$2:$D$19, "")="", 0, _xlfn.XLOOKUP(A411, ①オッズ入力!$A$2:$A$19, ①オッズ入力!$D$2:$D$19, 0)), 0)</f>
        <v>7.1460052806072205E-2</v>
      </c>
      <c r="E411">
        <f>IFERROR(IF(_xlfn.XLOOKUP(B411, ①オッズ入力!$A$2:$A$19, ①オッズ入力!$D$2:$D$19, "")="", 0, _xlfn.XLOOKUP(B411, ①オッズ入力!$A$2:$A$19, ①オッズ入力!$D$2:$D$19, 0)), 0)</f>
        <v>1.9850014668353389E-2</v>
      </c>
      <c r="F411">
        <f>IFERROR(IF(_xlfn.XLOOKUP(C411, ①オッズ入力!$A$2:$A$19, ①オッズ入力!$D$2:$D$19, "")="", 0, _xlfn.XLOOKUP(C411, ①オッズ入力!$A$2:$A$19, ①オッズ入力!$D$2:$D$19, 0)), 0)</f>
        <v>1.4887511001265043E-2</v>
      </c>
      <c r="G411">
        <f t="shared" si="12"/>
        <v>47353.680518546673</v>
      </c>
      <c r="H411">
        <f>IF(G411="", 0, IF(OR(A411=③資金配分!$D$1, A411=③資金配分!$D$2, B411=③資金配分!$D$1, B411=③資金配分!$D$2, C411=③資金配分!$D$1, C411=③資金配分!$D$2), 0, IF(OR(A411=③資金配分!$D$4, A411=③資金配分!$D$5, A411=③資金配分!$D$6, B411=③資金配分!$D$4, B411=③資金配分!$D$5, B411=③資金配分!$D$6, C411=③資金配分!$D$4, C411=③資金配分!$D$5, C411=③資金配分!$D$6), 0, IF(AND(③資金配分!$B$8&gt;0, G411&lt;=③資金配分!$B$8), 1, 0))))</f>
        <v>0</v>
      </c>
      <c r="I411">
        <f t="shared" si="13"/>
        <v>0</v>
      </c>
      <c r="J411">
        <f>IF(I411&gt;0, ROUND((I411 / SUM($I$2:$I$817)) * ③資金配分!$B$7, -2), 0)</f>
        <v>0</v>
      </c>
    </row>
    <row r="412" spans="1:10" x14ac:dyDescent="0.4">
      <c r="A412">
        <v>4</v>
      </c>
      <c r="B412">
        <v>9</v>
      </c>
      <c r="C412">
        <v>13</v>
      </c>
      <c r="D412">
        <f>IFERROR(IF(_xlfn.XLOOKUP(A412, ①オッズ入力!$A$2:$A$19, ①オッズ入力!$D$2:$D$19, "")="", 0, _xlfn.XLOOKUP(A412, ①オッズ入力!$A$2:$A$19, ①オッズ入力!$D$2:$D$19, 0)), 0)</f>
        <v>7.1460052806072205E-2</v>
      </c>
      <c r="E412">
        <f>IFERROR(IF(_xlfn.XLOOKUP(B412, ①オッズ入力!$A$2:$A$19, ①オッズ入力!$D$2:$D$19, "")="", 0, _xlfn.XLOOKUP(B412, ①オッズ入力!$A$2:$A$19, ①オッズ入力!$D$2:$D$19, 0)), 0)</f>
        <v>1.9850014668353389E-2</v>
      </c>
      <c r="F412">
        <f>IFERROR(IF(_xlfn.XLOOKUP(C412, ①オッズ入力!$A$2:$A$19, ①オッズ入力!$D$2:$D$19, "")="", 0, _xlfn.XLOOKUP(C412, ①オッズ入力!$A$2:$A$19, ①オッズ入力!$D$2:$D$19, 0)), 0)</f>
        <v>1.2760723715370036E-2</v>
      </c>
      <c r="G412">
        <f t="shared" si="12"/>
        <v>55245.960604971129</v>
      </c>
      <c r="H412">
        <f>IF(G412="", 0, IF(OR(A412=③資金配分!$D$1, A412=③資金配分!$D$2, B412=③資金配分!$D$1, B412=③資金配分!$D$2, C412=③資金配分!$D$1, C412=③資金配分!$D$2), 0, IF(OR(A412=③資金配分!$D$4, A412=③資金配分!$D$5, A412=③資金配分!$D$6, B412=③資金配分!$D$4, B412=③資金配分!$D$5, B412=③資金配分!$D$6, C412=③資金配分!$D$4, C412=③資金配分!$D$5, C412=③資金配分!$D$6), 0, IF(AND(③資金配分!$B$8&gt;0, G412&lt;=③資金配分!$B$8), 1, 0))))</f>
        <v>0</v>
      </c>
      <c r="I412">
        <f t="shared" si="13"/>
        <v>0</v>
      </c>
      <c r="J412">
        <f>IF(I412&gt;0, ROUND((I412 / SUM($I$2:$I$817)) * ③資金配分!$B$7, -2), 0)</f>
        <v>0</v>
      </c>
    </row>
    <row r="413" spans="1:10" x14ac:dyDescent="0.4">
      <c r="A413">
        <v>4</v>
      </c>
      <c r="B413">
        <v>9</v>
      </c>
      <c r="C413">
        <v>14</v>
      </c>
      <c r="D413">
        <f>IFERROR(IF(_xlfn.XLOOKUP(A413, ①オッズ入力!$A$2:$A$19, ①オッズ入力!$D$2:$D$19, "")="", 0, _xlfn.XLOOKUP(A413, ①オッズ入力!$A$2:$A$19, ①オッズ入力!$D$2:$D$19, 0)), 0)</f>
        <v>7.1460052806072205E-2</v>
      </c>
      <c r="E413">
        <f>IFERROR(IF(_xlfn.XLOOKUP(B413, ①オッズ入力!$A$2:$A$19, ①オッズ入力!$D$2:$D$19, "")="", 0, _xlfn.XLOOKUP(B413, ①オッズ入力!$A$2:$A$19, ①オッズ入力!$D$2:$D$19, 0)), 0)</f>
        <v>1.9850014668353389E-2</v>
      </c>
      <c r="F413">
        <f>IFERROR(IF(_xlfn.XLOOKUP(C413, ①オッズ入力!$A$2:$A$19, ①オッズ入力!$D$2:$D$19, "")="", 0, _xlfn.XLOOKUP(C413, ①オッズ入力!$A$2:$A$19, ①オッズ入力!$D$2:$D$19, 0)), 0)</f>
        <v>1.1525814968721322E-2</v>
      </c>
      <c r="G413">
        <f t="shared" si="12"/>
        <v>61165.170669789462</v>
      </c>
      <c r="H413">
        <f>IF(G413="", 0, IF(OR(A413=③資金配分!$D$1, A413=③資金配分!$D$2, B413=③資金配分!$D$1, B413=③資金配分!$D$2, C413=③資金配分!$D$1, C413=③資金配分!$D$2), 0, IF(OR(A413=③資金配分!$D$4, A413=③資金配分!$D$5, A413=③資金配分!$D$6, B413=③資金配分!$D$4, B413=③資金配分!$D$5, B413=③資金配分!$D$6, C413=③資金配分!$D$4, C413=③資金配分!$D$5, C413=③資金配分!$D$6), 0, IF(AND(③資金配分!$B$8&gt;0, G413&lt;=③資金配分!$B$8), 1, 0))))</f>
        <v>0</v>
      </c>
      <c r="I413">
        <f t="shared" si="13"/>
        <v>0</v>
      </c>
      <c r="J413">
        <f>IF(I413&gt;0, ROUND((I413 / SUM($I$2:$I$817)) * ③資金配分!$B$7, -2), 0)</f>
        <v>0</v>
      </c>
    </row>
    <row r="414" spans="1:10" x14ac:dyDescent="0.4">
      <c r="A414">
        <v>4</v>
      </c>
      <c r="B414">
        <v>9</v>
      </c>
      <c r="C414">
        <v>15</v>
      </c>
      <c r="D414">
        <f>IFERROR(IF(_xlfn.XLOOKUP(A414, ①オッズ入力!$A$2:$A$19, ①オッズ入力!$D$2:$D$19, "")="", 0, _xlfn.XLOOKUP(A414, ①オッズ入力!$A$2:$A$19, ①オッズ入力!$D$2:$D$19, 0)), 0)</f>
        <v>7.1460052806072205E-2</v>
      </c>
      <c r="E414">
        <f>IFERROR(IF(_xlfn.XLOOKUP(B414, ①オッズ入力!$A$2:$A$19, ①オッズ入力!$D$2:$D$19, "")="", 0, _xlfn.XLOOKUP(B414, ①オッズ入力!$A$2:$A$19, ①オッズ入力!$D$2:$D$19, 0)), 0)</f>
        <v>1.9850014668353389E-2</v>
      </c>
      <c r="F414">
        <f>IFERROR(IF(_xlfn.XLOOKUP(C414, ①オッズ入力!$A$2:$A$19, ①オッズ入力!$D$2:$D$19, "")="", 0, _xlfn.XLOOKUP(C414, ①オッズ入力!$A$2:$A$19, ①オッズ入力!$D$2:$D$19, 0)), 0)</f>
        <v>1.0697612695519792E-2</v>
      </c>
      <c r="G414">
        <f t="shared" si="12"/>
        <v>65900.538721644116</v>
      </c>
      <c r="H414">
        <f>IF(G414="", 0, IF(OR(A414=③資金配分!$D$1, A414=③資金配分!$D$2, B414=③資金配分!$D$1, B414=③資金配分!$D$2, C414=③資金配分!$D$1, C414=③資金配分!$D$2), 0, IF(OR(A414=③資金配分!$D$4, A414=③資金配分!$D$5, A414=③資金配分!$D$6, B414=③資金配分!$D$4, B414=③資金配分!$D$5, B414=③資金配分!$D$6, C414=③資金配分!$D$4, C414=③資金配分!$D$5, C414=③資金配分!$D$6), 0, IF(AND(③資金配分!$B$8&gt;0, G414&lt;=③資金配分!$B$8), 1, 0))))</f>
        <v>0</v>
      </c>
      <c r="I414">
        <f t="shared" si="13"/>
        <v>0</v>
      </c>
      <c r="J414">
        <f>IF(I414&gt;0, ROUND((I414 / SUM($I$2:$I$817)) * ③資金配分!$B$7, -2), 0)</f>
        <v>0</v>
      </c>
    </row>
    <row r="415" spans="1:10" x14ac:dyDescent="0.4">
      <c r="A415">
        <v>4</v>
      </c>
      <c r="B415">
        <v>9</v>
      </c>
      <c r="C415">
        <v>16</v>
      </c>
      <c r="D415">
        <f>IFERROR(IF(_xlfn.XLOOKUP(A415, ①オッズ入力!$A$2:$A$19, ①オッズ入力!$D$2:$D$19, "")="", 0, _xlfn.XLOOKUP(A415, ①オッズ入力!$A$2:$A$19, ①オッズ入力!$D$2:$D$19, 0)), 0)</f>
        <v>7.1460052806072205E-2</v>
      </c>
      <c r="E415">
        <f>IFERROR(IF(_xlfn.XLOOKUP(B415, ①オッズ入力!$A$2:$A$19, ①オッズ入力!$D$2:$D$19, "")="", 0, _xlfn.XLOOKUP(B415, ①オッズ入力!$A$2:$A$19, ①オッズ入力!$D$2:$D$19, 0)), 0)</f>
        <v>1.9850014668353389E-2</v>
      </c>
      <c r="F415">
        <f>IFERROR(IF(_xlfn.XLOOKUP(C415, ①オッズ入力!$A$2:$A$19, ①オッズ入力!$D$2:$D$19, "")="", 0, _xlfn.XLOOKUP(C415, ①オッズ入力!$A$2:$A$19, ①オッズ入力!$D$2:$D$19, 0)), 0)</f>
        <v>9.8701730395127345E-3</v>
      </c>
      <c r="G415">
        <f t="shared" si="12"/>
        <v>71425.134782141235</v>
      </c>
      <c r="H415">
        <f>IF(G415="", 0, IF(OR(A415=③資金配分!$D$1, A415=③資金配分!$D$2, B415=③資金配分!$D$1, B415=③資金配分!$D$2, C415=③資金配分!$D$1, C415=③資金配分!$D$2), 0, IF(OR(A415=③資金配分!$D$4, A415=③資金配分!$D$5, A415=③資金配分!$D$6, B415=③資金配分!$D$4, B415=③資金配分!$D$5, B415=③資金配分!$D$6, C415=③資金配分!$D$4, C415=③資金配分!$D$5, C415=③資金配分!$D$6), 0, IF(AND(③資金配分!$B$8&gt;0, G415&lt;=③資金配分!$B$8), 1, 0))))</f>
        <v>0</v>
      </c>
      <c r="I415">
        <f t="shared" si="13"/>
        <v>0</v>
      </c>
      <c r="J415">
        <f>IF(I415&gt;0, ROUND((I415 / SUM($I$2:$I$817)) * ③資金配分!$B$7, -2), 0)</f>
        <v>0</v>
      </c>
    </row>
    <row r="416" spans="1:10" x14ac:dyDescent="0.4">
      <c r="A416">
        <v>4</v>
      </c>
      <c r="B416">
        <v>9</v>
      </c>
      <c r="C416">
        <v>17</v>
      </c>
      <c r="D416">
        <f>IFERROR(IF(_xlfn.XLOOKUP(A416, ①オッズ入力!$A$2:$A$19, ①オッズ入力!$D$2:$D$19, "")="", 0, _xlfn.XLOOKUP(A416, ①オッズ入力!$A$2:$A$19, ①オッズ入力!$D$2:$D$19, 0)), 0)</f>
        <v>7.1460052806072205E-2</v>
      </c>
      <c r="E416">
        <f>IFERROR(IF(_xlfn.XLOOKUP(B416, ①オッズ入力!$A$2:$A$19, ①オッズ入力!$D$2:$D$19, "")="", 0, _xlfn.XLOOKUP(B416, ①オッズ入力!$A$2:$A$19, ①オッズ入力!$D$2:$D$19, 0)), 0)</f>
        <v>1.9850014668353389E-2</v>
      </c>
      <c r="F416">
        <f>IFERROR(IF(_xlfn.XLOOKUP(C416, ①オッズ入力!$A$2:$A$19, ①オッズ入力!$D$2:$D$19, "")="", 0, _xlfn.XLOOKUP(C416, ①オッズ入力!$A$2:$A$19, ①オッズ入力!$D$2:$D$19, 0)), 0)</f>
        <v>9.1615452315477186E-3</v>
      </c>
      <c r="G416">
        <f t="shared" si="12"/>
        <v>76949.730842638339</v>
      </c>
      <c r="H416">
        <f>IF(G416="", 0, IF(OR(A416=③資金配分!$D$1, A416=③資金配分!$D$2, B416=③資金配分!$D$1, B416=③資金配分!$D$2, C416=③資金配分!$D$1, C416=③資金配分!$D$2), 0, IF(OR(A416=③資金配分!$D$4, A416=③資金配分!$D$5, A416=③資金配分!$D$6, B416=③資金配分!$D$4, B416=③資金配分!$D$5, B416=③資金配分!$D$6, C416=③資金配分!$D$4, C416=③資金配分!$D$5, C416=③資金配分!$D$6), 0, IF(AND(③資金配分!$B$8&gt;0, G416&lt;=③資金配分!$B$8), 1, 0))))</f>
        <v>0</v>
      </c>
      <c r="I416">
        <f t="shared" si="13"/>
        <v>0</v>
      </c>
      <c r="J416">
        <f>IF(I416&gt;0, ROUND((I416 / SUM($I$2:$I$817)) * ③資金配分!$B$7, -2), 0)</f>
        <v>0</v>
      </c>
    </row>
    <row r="417" spans="1:10" x14ac:dyDescent="0.4">
      <c r="A417">
        <v>4</v>
      </c>
      <c r="B417">
        <v>9</v>
      </c>
      <c r="C417">
        <v>18</v>
      </c>
      <c r="D417">
        <f>IFERROR(IF(_xlfn.XLOOKUP(A417, ①オッズ入力!$A$2:$A$19, ①オッズ入力!$D$2:$D$19, "")="", 0, _xlfn.XLOOKUP(A417, ①オッズ入力!$A$2:$A$19, ①オッズ入力!$D$2:$D$19, 0)), 0)</f>
        <v>7.1460052806072205E-2</v>
      </c>
      <c r="E417">
        <f>IFERROR(IF(_xlfn.XLOOKUP(B417, ①オッズ入力!$A$2:$A$19, ①オッズ入力!$D$2:$D$19, "")="", 0, _xlfn.XLOOKUP(B417, ①オッズ入力!$A$2:$A$19, ①オッズ入力!$D$2:$D$19, 0)), 0)</f>
        <v>1.9850014668353389E-2</v>
      </c>
      <c r="F417">
        <f>IFERROR(IF(_xlfn.XLOOKUP(C417, ①オッズ入力!$A$2:$A$19, ①オッズ入力!$D$2:$D$19, "")="", 0, _xlfn.XLOOKUP(C417, ①オッズ入力!$A$2:$A$19, ①オッズ入力!$D$2:$D$19, 0)), 0)</f>
        <v>8.5478532064679671E-3</v>
      </c>
      <c r="G417">
        <f t="shared" si="12"/>
        <v>82474.326903135458</v>
      </c>
      <c r="H417">
        <f>IF(G417="", 0, IF(OR(A417=③資金配分!$D$1, A417=③資金配分!$D$2, B417=③資金配分!$D$1, B417=③資金配分!$D$2, C417=③資金配分!$D$1, C417=③資金配分!$D$2), 0, IF(OR(A417=③資金配分!$D$4, A417=③資金配分!$D$5, A417=③資金配分!$D$6, B417=③資金配分!$D$4, B417=③資金配分!$D$5, B417=③資金配分!$D$6, C417=③資金配分!$D$4, C417=③資金配分!$D$5, C417=③資金配分!$D$6), 0, IF(AND(③資金配分!$B$8&gt;0, G417&lt;=③資金配分!$B$8), 1, 0))))</f>
        <v>0</v>
      </c>
      <c r="I417">
        <f t="shared" si="13"/>
        <v>0</v>
      </c>
      <c r="J417">
        <f>IF(I417&gt;0, ROUND((I417 / SUM($I$2:$I$817)) * ③資金配分!$B$7, -2), 0)</f>
        <v>0</v>
      </c>
    </row>
    <row r="418" spans="1:10" x14ac:dyDescent="0.4">
      <c r="A418">
        <v>4</v>
      </c>
      <c r="B418">
        <v>10</v>
      </c>
      <c r="C418">
        <v>11</v>
      </c>
      <c r="D418">
        <f>IFERROR(IF(_xlfn.XLOOKUP(A418, ①オッズ入力!$A$2:$A$19, ①オッズ入力!$D$2:$D$19, "")="", 0, _xlfn.XLOOKUP(A418, ①オッズ入力!$A$2:$A$19, ①オッズ入力!$D$2:$D$19, 0)), 0)</f>
        <v>7.1460052806072205E-2</v>
      </c>
      <c r="E418">
        <f>IFERROR(IF(_xlfn.XLOOKUP(B418, ①オッズ入力!$A$2:$A$19, ①オッズ入力!$D$2:$D$19, "")="", 0, _xlfn.XLOOKUP(B418, ①オッズ入力!$A$2:$A$19, ①オッズ入力!$D$2:$D$19, 0)), 0)</f>
        <v>1.7865013201518051E-2</v>
      </c>
      <c r="F418">
        <f>IFERROR(IF(_xlfn.XLOOKUP(C418, ①オッズ入力!$A$2:$A$19, ①オッズ入力!$D$2:$D$19, "")="", 0, _xlfn.XLOOKUP(C418, ①オッズ入力!$A$2:$A$19, ①オッズ入力!$D$2:$D$19, 0)), 0)</f>
        <v>1.6240921092289137E-2</v>
      </c>
      <c r="G418">
        <f t="shared" si="12"/>
        <v>48230.600528149393</v>
      </c>
      <c r="H418">
        <f>IF(G418="", 0, IF(OR(A418=③資金配分!$D$1, A418=③資金配分!$D$2, B418=③資金配分!$D$1, B418=③資金配分!$D$2, C418=③資金配分!$D$1, C418=③資金配分!$D$2), 0, IF(OR(A418=③資金配分!$D$4, A418=③資金配分!$D$5, A418=③資金配分!$D$6, B418=③資金配分!$D$4, B418=③資金配分!$D$5, B418=③資金配分!$D$6, C418=③資金配分!$D$4, C418=③資金配分!$D$5, C418=③資金配分!$D$6), 0, IF(AND(③資金配分!$B$8&gt;0, G418&lt;=③資金配分!$B$8), 1, 0))))</f>
        <v>0</v>
      </c>
      <c r="I418">
        <f t="shared" si="13"/>
        <v>0</v>
      </c>
      <c r="J418">
        <f>IF(I418&gt;0, ROUND((I418 / SUM($I$2:$I$817)) * ③資金配分!$B$7, -2), 0)</f>
        <v>0</v>
      </c>
    </row>
    <row r="419" spans="1:10" x14ac:dyDescent="0.4">
      <c r="A419">
        <v>4</v>
      </c>
      <c r="B419">
        <v>10</v>
      </c>
      <c r="C419">
        <v>12</v>
      </c>
      <c r="D419">
        <f>IFERROR(IF(_xlfn.XLOOKUP(A419, ①オッズ入力!$A$2:$A$19, ①オッズ入力!$D$2:$D$19, "")="", 0, _xlfn.XLOOKUP(A419, ①オッズ入力!$A$2:$A$19, ①オッズ入力!$D$2:$D$19, 0)), 0)</f>
        <v>7.1460052806072205E-2</v>
      </c>
      <c r="E419">
        <f>IFERROR(IF(_xlfn.XLOOKUP(B419, ①オッズ入力!$A$2:$A$19, ①オッズ入力!$D$2:$D$19, "")="", 0, _xlfn.XLOOKUP(B419, ①オッズ入力!$A$2:$A$19, ①オッズ入力!$D$2:$D$19, 0)), 0)</f>
        <v>1.7865013201518051E-2</v>
      </c>
      <c r="F419">
        <f>IFERROR(IF(_xlfn.XLOOKUP(C419, ①オッズ入力!$A$2:$A$19, ①オッズ入力!$D$2:$D$19, "")="", 0, _xlfn.XLOOKUP(C419, ①オッズ入力!$A$2:$A$19, ①オッズ入力!$D$2:$D$19, 0)), 0)</f>
        <v>1.4887511001265043E-2</v>
      </c>
      <c r="G419">
        <f t="shared" si="12"/>
        <v>52615.20057616297</v>
      </c>
      <c r="H419">
        <f>IF(G419="", 0, IF(OR(A419=③資金配分!$D$1, A419=③資金配分!$D$2, B419=③資金配分!$D$1, B419=③資金配分!$D$2, C419=③資金配分!$D$1, C419=③資金配分!$D$2), 0, IF(OR(A419=③資金配分!$D$4, A419=③資金配分!$D$5, A419=③資金配分!$D$6, B419=③資金配分!$D$4, B419=③資金配分!$D$5, B419=③資金配分!$D$6, C419=③資金配分!$D$4, C419=③資金配分!$D$5, C419=③資金配分!$D$6), 0, IF(AND(③資金配分!$B$8&gt;0, G419&lt;=③資金配分!$B$8), 1, 0))))</f>
        <v>0</v>
      </c>
      <c r="I419">
        <f t="shared" si="13"/>
        <v>0</v>
      </c>
      <c r="J419">
        <f>IF(I419&gt;0, ROUND((I419 / SUM($I$2:$I$817)) * ③資金配分!$B$7, -2), 0)</f>
        <v>0</v>
      </c>
    </row>
    <row r="420" spans="1:10" x14ac:dyDescent="0.4">
      <c r="A420">
        <v>4</v>
      </c>
      <c r="B420">
        <v>10</v>
      </c>
      <c r="C420">
        <v>13</v>
      </c>
      <c r="D420">
        <f>IFERROR(IF(_xlfn.XLOOKUP(A420, ①オッズ入力!$A$2:$A$19, ①オッズ入力!$D$2:$D$19, "")="", 0, _xlfn.XLOOKUP(A420, ①オッズ入力!$A$2:$A$19, ①オッズ入力!$D$2:$D$19, 0)), 0)</f>
        <v>7.1460052806072205E-2</v>
      </c>
      <c r="E420">
        <f>IFERROR(IF(_xlfn.XLOOKUP(B420, ①オッズ入力!$A$2:$A$19, ①オッズ入力!$D$2:$D$19, "")="", 0, _xlfn.XLOOKUP(B420, ①オッズ入力!$A$2:$A$19, ①オッズ入力!$D$2:$D$19, 0)), 0)</f>
        <v>1.7865013201518051E-2</v>
      </c>
      <c r="F420">
        <f>IFERROR(IF(_xlfn.XLOOKUP(C420, ①オッズ入力!$A$2:$A$19, ①オッズ入力!$D$2:$D$19, "")="", 0, _xlfn.XLOOKUP(C420, ①オッズ入力!$A$2:$A$19, ①オッズ入力!$D$2:$D$19, 0)), 0)</f>
        <v>1.2760723715370036E-2</v>
      </c>
      <c r="G420">
        <f t="shared" si="12"/>
        <v>61384.400672190139</v>
      </c>
      <c r="H420">
        <f>IF(G420="", 0, IF(OR(A420=③資金配分!$D$1, A420=③資金配分!$D$2, B420=③資金配分!$D$1, B420=③資金配分!$D$2, C420=③資金配分!$D$1, C420=③資金配分!$D$2), 0, IF(OR(A420=③資金配分!$D$4, A420=③資金配分!$D$5, A420=③資金配分!$D$6, B420=③資金配分!$D$4, B420=③資金配分!$D$5, B420=③資金配分!$D$6, C420=③資金配分!$D$4, C420=③資金配分!$D$5, C420=③資金配分!$D$6), 0, IF(AND(③資金配分!$B$8&gt;0, G420&lt;=③資金配分!$B$8), 1, 0))))</f>
        <v>0</v>
      </c>
      <c r="I420">
        <f t="shared" si="13"/>
        <v>0</v>
      </c>
      <c r="J420">
        <f>IF(I420&gt;0, ROUND((I420 / SUM($I$2:$I$817)) * ③資金配分!$B$7, -2), 0)</f>
        <v>0</v>
      </c>
    </row>
    <row r="421" spans="1:10" x14ac:dyDescent="0.4">
      <c r="A421">
        <v>4</v>
      </c>
      <c r="B421">
        <v>10</v>
      </c>
      <c r="C421">
        <v>14</v>
      </c>
      <c r="D421">
        <f>IFERROR(IF(_xlfn.XLOOKUP(A421, ①オッズ入力!$A$2:$A$19, ①オッズ入力!$D$2:$D$19, "")="", 0, _xlfn.XLOOKUP(A421, ①オッズ入力!$A$2:$A$19, ①オッズ入力!$D$2:$D$19, 0)), 0)</f>
        <v>7.1460052806072205E-2</v>
      </c>
      <c r="E421">
        <f>IFERROR(IF(_xlfn.XLOOKUP(B421, ①オッズ入力!$A$2:$A$19, ①オッズ入力!$D$2:$D$19, "")="", 0, _xlfn.XLOOKUP(B421, ①オッズ入力!$A$2:$A$19, ①オッズ入力!$D$2:$D$19, 0)), 0)</f>
        <v>1.7865013201518051E-2</v>
      </c>
      <c r="F421">
        <f>IFERROR(IF(_xlfn.XLOOKUP(C421, ①オッズ入力!$A$2:$A$19, ①オッズ入力!$D$2:$D$19, "")="", 0, _xlfn.XLOOKUP(C421, ①オッズ入力!$A$2:$A$19, ①オッズ入力!$D$2:$D$19, 0)), 0)</f>
        <v>1.1525814968721322E-2</v>
      </c>
      <c r="G421">
        <f t="shared" si="12"/>
        <v>67961.300744210515</v>
      </c>
      <c r="H421">
        <f>IF(G421="", 0, IF(OR(A421=③資金配分!$D$1, A421=③資金配分!$D$2, B421=③資金配分!$D$1, B421=③資金配分!$D$2, C421=③資金配分!$D$1, C421=③資金配分!$D$2), 0, IF(OR(A421=③資金配分!$D$4, A421=③資金配分!$D$5, A421=③資金配分!$D$6, B421=③資金配分!$D$4, B421=③資金配分!$D$5, B421=③資金配分!$D$6, C421=③資金配分!$D$4, C421=③資金配分!$D$5, C421=③資金配分!$D$6), 0, IF(AND(③資金配分!$B$8&gt;0, G421&lt;=③資金配分!$B$8), 1, 0))))</f>
        <v>0</v>
      </c>
      <c r="I421">
        <f t="shared" si="13"/>
        <v>0</v>
      </c>
      <c r="J421">
        <f>IF(I421&gt;0, ROUND((I421 / SUM($I$2:$I$817)) * ③資金配分!$B$7, -2), 0)</f>
        <v>0</v>
      </c>
    </row>
    <row r="422" spans="1:10" x14ac:dyDescent="0.4">
      <c r="A422">
        <v>4</v>
      </c>
      <c r="B422">
        <v>10</v>
      </c>
      <c r="C422">
        <v>15</v>
      </c>
      <c r="D422">
        <f>IFERROR(IF(_xlfn.XLOOKUP(A422, ①オッズ入力!$A$2:$A$19, ①オッズ入力!$D$2:$D$19, "")="", 0, _xlfn.XLOOKUP(A422, ①オッズ入力!$A$2:$A$19, ①オッズ入力!$D$2:$D$19, 0)), 0)</f>
        <v>7.1460052806072205E-2</v>
      </c>
      <c r="E422">
        <f>IFERROR(IF(_xlfn.XLOOKUP(B422, ①オッズ入力!$A$2:$A$19, ①オッズ入力!$D$2:$D$19, "")="", 0, _xlfn.XLOOKUP(B422, ①オッズ入力!$A$2:$A$19, ①オッズ入力!$D$2:$D$19, 0)), 0)</f>
        <v>1.7865013201518051E-2</v>
      </c>
      <c r="F422">
        <f>IFERROR(IF(_xlfn.XLOOKUP(C422, ①オッズ入力!$A$2:$A$19, ①オッズ入力!$D$2:$D$19, "")="", 0, _xlfn.XLOOKUP(C422, ①オッズ入力!$A$2:$A$19, ①オッズ入力!$D$2:$D$19, 0)), 0)</f>
        <v>1.0697612695519792E-2</v>
      </c>
      <c r="G422">
        <f t="shared" si="12"/>
        <v>73222.820801826805</v>
      </c>
      <c r="H422">
        <f>IF(G422="", 0, IF(OR(A422=③資金配分!$D$1, A422=③資金配分!$D$2, B422=③資金配分!$D$1, B422=③資金配分!$D$2, C422=③資金配分!$D$1, C422=③資金配分!$D$2), 0, IF(OR(A422=③資金配分!$D$4, A422=③資金配分!$D$5, A422=③資金配分!$D$6, B422=③資金配分!$D$4, B422=③資金配分!$D$5, B422=③資金配分!$D$6, C422=③資金配分!$D$4, C422=③資金配分!$D$5, C422=③資金配分!$D$6), 0, IF(AND(③資金配分!$B$8&gt;0, G422&lt;=③資金配分!$B$8), 1, 0))))</f>
        <v>0</v>
      </c>
      <c r="I422">
        <f t="shared" si="13"/>
        <v>0</v>
      </c>
      <c r="J422">
        <f>IF(I422&gt;0, ROUND((I422 / SUM($I$2:$I$817)) * ③資金配分!$B$7, -2), 0)</f>
        <v>0</v>
      </c>
    </row>
    <row r="423" spans="1:10" x14ac:dyDescent="0.4">
      <c r="A423">
        <v>4</v>
      </c>
      <c r="B423">
        <v>10</v>
      </c>
      <c r="C423">
        <v>16</v>
      </c>
      <c r="D423">
        <f>IFERROR(IF(_xlfn.XLOOKUP(A423, ①オッズ入力!$A$2:$A$19, ①オッズ入力!$D$2:$D$19, "")="", 0, _xlfn.XLOOKUP(A423, ①オッズ入力!$A$2:$A$19, ①オッズ入力!$D$2:$D$19, 0)), 0)</f>
        <v>7.1460052806072205E-2</v>
      </c>
      <c r="E423">
        <f>IFERROR(IF(_xlfn.XLOOKUP(B423, ①オッズ入力!$A$2:$A$19, ①オッズ入力!$D$2:$D$19, "")="", 0, _xlfn.XLOOKUP(B423, ①オッズ入力!$A$2:$A$19, ①オッズ入力!$D$2:$D$19, 0)), 0)</f>
        <v>1.7865013201518051E-2</v>
      </c>
      <c r="F423">
        <f>IFERROR(IF(_xlfn.XLOOKUP(C423, ①オッズ入力!$A$2:$A$19, ①オッズ入力!$D$2:$D$19, "")="", 0, _xlfn.XLOOKUP(C423, ①オッズ入力!$A$2:$A$19, ①オッズ入力!$D$2:$D$19, 0)), 0)</f>
        <v>9.8701730395127345E-3</v>
      </c>
      <c r="G423">
        <f t="shared" si="12"/>
        <v>79361.260869045815</v>
      </c>
      <c r="H423">
        <f>IF(G423="", 0, IF(OR(A423=③資金配分!$D$1, A423=③資金配分!$D$2, B423=③資金配分!$D$1, B423=③資金配分!$D$2, C423=③資金配分!$D$1, C423=③資金配分!$D$2), 0, IF(OR(A423=③資金配分!$D$4, A423=③資金配分!$D$5, A423=③資金配分!$D$6, B423=③資金配分!$D$4, B423=③資金配分!$D$5, B423=③資金配分!$D$6, C423=③資金配分!$D$4, C423=③資金配分!$D$5, C423=③資金配分!$D$6), 0, IF(AND(③資金配分!$B$8&gt;0, G423&lt;=③資金配分!$B$8), 1, 0))))</f>
        <v>0</v>
      </c>
      <c r="I423">
        <f t="shared" si="13"/>
        <v>0</v>
      </c>
      <c r="J423">
        <f>IF(I423&gt;0, ROUND((I423 / SUM($I$2:$I$817)) * ③資金配分!$B$7, -2), 0)</f>
        <v>0</v>
      </c>
    </row>
    <row r="424" spans="1:10" x14ac:dyDescent="0.4">
      <c r="A424">
        <v>4</v>
      </c>
      <c r="B424">
        <v>10</v>
      </c>
      <c r="C424">
        <v>17</v>
      </c>
      <c r="D424">
        <f>IFERROR(IF(_xlfn.XLOOKUP(A424, ①オッズ入力!$A$2:$A$19, ①オッズ入力!$D$2:$D$19, "")="", 0, _xlfn.XLOOKUP(A424, ①オッズ入力!$A$2:$A$19, ①オッズ入力!$D$2:$D$19, 0)), 0)</f>
        <v>7.1460052806072205E-2</v>
      </c>
      <c r="E424">
        <f>IFERROR(IF(_xlfn.XLOOKUP(B424, ①オッズ入力!$A$2:$A$19, ①オッズ入力!$D$2:$D$19, "")="", 0, _xlfn.XLOOKUP(B424, ①オッズ入力!$A$2:$A$19, ①オッズ入力!$D$2:$D$19, 0)), 0)</f>
        <v>1.7865013201518051E-2</v>
      </c>
      <c r="F424">
        <f>IFERROR(IF(_xlfn.XLOOKUP(C424, ①オッズ入力!$A$2:$A$19, ①オッズ入力!$D$2:$D$19, "")="", 0, _xlfn.XLOOKUP(C424, ①オッズ入力!$A$2:$A$19, ①オッズ入力!$D$2:$D$19, 0)), 0)</f>
        <v>9.1615452315477186E-3</v>
      </c>
      <c r="G424">
        <f t="shared" si="12"/>
        <v>85499.700936264824</v>
      </c>
      <c r="H424">
        <f>IF(G424="", 0, IF(OR(A424=③資金配分!$D$1, A424=③資金配分!$D$2, B424=③資金配分!$D$1, B424=③資金配分!$D$2, C424=③資金配分!$D$1, C424=③資金配分!$D$2), 0, IF(OR(A424=③資金配分!$D$4, A424=③資金配分!$D$5, A424=③資金配分!$D$6, B424=③資金配分!$D$4, B424=③資金配分!$D$5, B424=③資金配分!$D$6, C424=③資金配分!$D$4, C424=③資金配分!$D$5, C424=③資金配分!$D$6), 0, IF(AND(③資金配分!$B$8&gt;0, G424&lt;=③資金配分!$B$8), 1, 0))))</f>
        <v>0</v>
      </c>
      <c r="I424">
        <f t="shared" si="13"/>
        <v>0</v>
      </c>
      <c r="J424">
        <f>IF(I424&gt;0, ROUND((I424 / SUM($I$2:$I$817)) * ③資金配分!$B$7, -2), 0)</f>
        <v>0</v>
      </c>
    </row>
    <row r="425" spans="1:10" x14ac:dyDescent="0.4">
      <c r="A425">
        <v>4</v>
      </c>
      <c r="B425">
        <v>10</v>
      </c>
      <c r="C425">
        <v>18</v>
      </c>
      <c r="D425">
        <f>IFERROR(IF(_xlfn.XLOOKUP(A425, ①オッズ入力!$A$2:$A$19, ①オッズ入力!$D$2:$D$19, "")="", 0, _xlfn.XLOOKUP(A425, ①オッズ入力!$A$2:$A$19, ①オッズ入力!$D$2:$D$19, 0)), 0)</f>
        <v>7.1460052806072205E-2</v>
      </c>
      <c r="E425">
        <f>IFERROR(IF(_xlfn.XLOOKUP(B425, ①オッズ入力!$A$2:$A$19, ①オッズ入力!$D$2:$D$19, "")="", 0, _xlfn.XLOOKUP(B425, ①オッズ入力!$A$2:$A$19, ①オッズ入力!$D$2:$D$19, 0)), 0)</f>
        <v>1.7865013201518051E-2</v>
      </c>
      <c r="F425">
        <f>IFERROR(IF(_xlfn.XLOOKUP(C425, ①オッズ入力!$A$2:$A$19, ①オッズ入力!$D$2:$D$19, "")="", 0, _xlfn.XLOOKUP(C425, ①オッズ入力!$A$2:$A$19, ①オッズ入力!$D$2:$D$19, 0)), 0)</f>
        <v>8.5478532064679671E-3</v>
      </c>
      <c r="G425">
        <f t="shared" si="12"/>
        <v>91638.141003483848</v>
      </c>
      <c r="H425">
        <f>IF(G425="", 0, IF(OR(A425=③資金配分!$D$1, A425=③資金配分!$D$2, B425=③資金配分!$D$1, B425=③資金配分!$D$2, C425=③資金配分!$D$1, C425=③資金配分!$D$2), 0, IF(OR(A425=③資金配分!$D$4, A425=③資金配分!$D$5, A425=③資金配分!$D$6, B425=③資金配分!$D$4, B425=③資金配分!$D$5, B425=③資金配分!$D$6, C425=③資金配分!$D$4, C425=③資金配分!$D$5, C425=③資金配分!$D$6), 0, IF(AND(③資金配分!$B$8&gt;0, G425&lt;=③資金配分!$B$8), 1, 0))))</f>
        <v>0</v>
      </c>
      <c r="I425">
        <f t="shared" si="13"/>
        <v>0</v>
      </c>
      <c r="J425">
        <f>IF(I425&gt;0, ROUND((I425 / SUM($I$2:$I$817)) * ③資金配分!$B$7, -2), 0)</f>
        <v>0</v>
      </c>
    </row>
    <row r="426" spans="1:10" x14ac:dyDescent="0.4">
      <c r="A426">
        <v>4</v>
      </c>
      <c r="B426">
        <v>11</v>
      </c>
      <c r="C426">
        <v>12</v>
      </c>
      <c r="D426">
        <f>IFERROR(IF(_xlfn.XLOOKUP(A426, ①オッズ入力!$A$2:$A$19, ①オッズ入力!$D$2:$D$19, "")="", 0, _xlfn.XLOOKUP(A426, ①オッズ入力!$A$2:$A$19, ①オッズ入力!$D$2:$D$19, 0)), 0)</f>
        <v>7.1460052806072205E-2</v>
      </c>
      <c r="E426">
        <f>IFERROR(IF(_xlfn.XLOOKUP(B426, ①オッズ入力!$A$2:$A$19, ①オッズ入力!$D$2:$D$19, "")="", 0, _xlfn.XLOOKUP(B426, ①オッズ入力!$A$2:$A$19, ①オッズ入力!$D$2:$D$19, 0)), 0)</f>
        <v>1.6240921092289137E-2</v>
      </c>
      <c r="F426">
        <f>IFERROR(IF(_xlfn.XLOOKUP(C426, ①オッズ入力!$A$2:$A$19, ①オッズ入力!$D$2:$D$19, "")="", 0, _xlfn.XLOOKUP(C426, ①オッズ入力!$A$2:$A$19, ①オッズ入力!$D$2:$D$19, 0)), 0)</f>
        <v>1.4887511001265043E-2</v>
      </c>
      <c r="G426">
        <f t="shared" si="12"/>
        <v>57876.720633779267</v>
      </c>
      <c r="H426">
        <f>IF(G426="", 0, IF(OR(A426=③資金配分!$D$1, A426=③資金配分!$D$2, B426=③資金配分!$D$1, B426=③資金配分!$D$2, C426=③資金配分!$D$1, C426=③資金配分!$D$2), 0, IF(OR(A426=③資金配分!$D$4, A426=③資金配分!$D$5, A426=③資金配分!$D$6, B426=③資金配分!$D$4, B426=③資金配分!$D$5, B426=③資金配分!$D$6, C426=③資金配分!$D$4, C426=③資金配分!$D$5, C426=③資金配分!$D$6), 0, IF(AND(③資金配分!$B$8&gt;0, G426&lt;=③資金配分!$B$8), 1, 0))))</f>
        <v>0</v>
      </c>
      <c r="I426">
        <f t="shared" si="13"/>
        <v>0</v>
      </c>
      <c r="J426">
        <f>IF(I426&gt;0, ROUND((I426 / SUM($I$2:$I$817)) * ③資金配分!$B$7, -2), 0)</f>
        <v>0</v>
      </c>
    </row>
    <row r="427" spans="1:10" x14ac:dyDescent="0.4">
      <c r="A427">
        <v>4</v>
      </c>
      <c r="B427">
        <v>11</v>
      </c>
      <c r="C427">
        <v>13</v>
      </c>
      <c r="D427">
        <f>IFERROR(IF(_xlfn.XLOOKUP(A427, ①オッズ入力!$A$2:$A$19, ①オッズ入力!$D$2:$D$19, "")="", 0, _xlfn.XLOOKUP(A427, ①オッズ入力!$A$2:$A$19, ①オッズ入力!$D$2:$D$19, 0)), 0)</f>
        <v>7.1460052806072205E-2</v>
      </c>
      <c r="E427">
        <f>IFERROR(IF(_xlfn.XLOOKUP(B427, ①オッズ入力!$A$2:$A$19, ①オッズ入力!$D$2:$D$19, "")="", 0, _xlfn.XLOOKUP(B427, ①オッズ入力!$A$2:$A$19, ①オッズ入力!$D$2:$D$19, 0)), 0)</f>
        <v>1.6240921092289137E-2</v>
      </c>
      <c r="F427">
        <f>IFERROR(IF(_xlfn.XLOOKUP(C427, ①オッズ入力!$A$2:$A$19, ①オッズ入力!$D$2:$D$19, "")="", 0, _xlfn.XLOOKUP(C427, ①オッズ入力!$A$2:$A$19, ①オッズ入力!$D$2:$D$19, 0)), 0)</f>
        <v>1.2760723715370036E-2</v>
      </c>
      <c r="G427">
        <f t="shared" si="12"/>
        <v>67522.840739409148</v>
      </c>
      <c r="H427">
        <f>IF(G427="", 0, IF(OR(A427=③資金配分!$D$1, A427=③資金配分!$D$2, B427=③資金配分!$D$1, B427=③資金配分!$D$2, C427=③資金配分!$D$1, C427=③資金配分!$D$2), 0, IF(OR(A427=③資金配分!$D$4, A427=③資金配分!$D$5, A427=③資金配分!$D$6, B427=③資金配分!$D$4, B427=③資金配分!$D$5, B427=③資金配分!$D$6, C427=③資金配分!$D$4, C427=③資金配分!$D$5, C427=③資金配分!$D$6), 0, IF(AND(③資金配分!$B$8&gt;0, G427&lt;=③資金配分!$B$8), 1, 0))))</f>
        <v>0</v>
      </c>
      <c r="I427">
        <f t="shared" si="13"/>
        <v>0</v>
      </c>
      <c r="J427">
        <f>IF(I427&gt;0, ROUND((I427 / SUM($I$2:$I$817)) * ③資金配分!$B$7, -2), 0)</f>
        <v>0</v>
      </c>
    </row>
    <row r="428" spans="1:10" x14ac:dyDescent="0.4">
      <c r="A428">
        <v>4</v>
      </c>
      <c r="B428">
        <v>11</v>
      </c>
      <c r="C428">
        <v>14</v>
      </c>
      <c r="D428">
        <f>IFERROR(IF(_xlfn.XLOOKUP(A428, ①オッズ入力!$A$2:$A$19, ①オッズ入力!$D$2:$D$19, "")="", 0, _xlfn.XLOOKUP(A428, ①オッズ入力!$A$2:$A$19, ①オッズ入力!$D$2:$D$19, 0)), 0)</f>
        <v>7.1460052806072205E-2</v>
      </c>
      <c r="E428">
        <f>IFERROR(IF(_xlfn.XLOOKUP(B428, ①オッズ入力!$A$2:$A$19, ①オッズ入力!$D$2:$D$19, "")="", 0, _xlfn.XLOOKUP(B428, ①オッズ入力!$A$2:$A$19, ①オッズ入力!$D$2:$D$19, 0)), 0)</f>
        <v>1.6240921092289137E-2</v>
      </c>
      <c r="F428">
        <f>IFERROR(IF(_xlfn.XLOOKUP(C428, ①オッズ入力!$A$2:$A$19, ①オッズ入力!$D$2:$D$19, "")="", 0, _xlfn.XLOOKUP(C428, ①オッズ入力!$A$2:$A$19, ①オッズ入力!$D$2:$D$19, 0)), 0)</f>
        <v>1.1525814968721322E-2</v>
      </c>
      <c r="G428">
        <f t="shared" si="12"/>
        <v>74757.430818631561</v>
      </c>
      <c r="H428">
        <f>IF(G428="", 0, IF(OR(A428=③資金配分!$D$1, A428=③資金配分!$D$2, B428=③資金配分!$D$1, B428=③資金配分!$D$2, C428=③資金配分!$D$1, C428=③資金配分!$D$2), 0, IF(OR(A428=③資金配分!$D$4, A428=③資金配分!$D$5, A428=③資金配分!$D$6, B428=③資金配分!$D$4, B428=③資金配分!$D$5, B428=③資金配分!$D$6, C428=③資金配分!$D$4, C428=③資金配分!$D$5, C428=③資金配分!$D$6), 0, IF(AND(③資金配分!$B$8&gt;0, G428&lt;=③資金配分!$B$8), 1, 0))))</f>
        <v>0</v>
      </c>
      <c r="I428">
        <f t="shared" si="13"/>
        <v>0</v>
      </c>
      <c r="J428">
        <f>IF(I428&gt;0, ROUND((I428 / SUM($I$2:$I$817)) * ③資金配分!$B$7, -2), 0)</f>
        <v>0</v>
      </c>
    </row>
    <row r="429" spans="1:10" x14ac:dyDescent="0.4">
      <c r="A429">
        <v>4</v>
      </c>
      <c r="B429">
        <v>11</v>
      </c>
      <c r="C429">
        <v>15</v>
      </c>
      <c r="D429">
        <f>IFERROR(IF(_xlfn.XLOOKUP(A429, ①オッズ入力!$A$2:$A$19, ①オッズ入力!$D$2:$D$19, "")="", 0, _xlfn.XLOOKUP(A429, ①オッズ入力!$A$2:$A$19, ①オッズ入力!$D$2:$D$19, 0)), 0)</f>
        <v>7.1460052806072205E-2</v>
      </c>
      <c r="E429">
        <f>IFERROR(IF(_xlfn.XLOOKUP(B429, ①オッズ入力!$A$2:$A$19, ①オッズ入力!$D$2:$D$19, "")="", 0, _xlfn.XLOOKUP(B429, ①オッズ入力!$A$2:$A$19, ①オッズ入力!$D$2:$D$19, 0)), 0)</f>
        <v>1.6240921092289137E-2</v>
      </c>
      <c r="F429">
        <f>IFERROR(IF(_xlfn.XLOOKUP(C429, ①オッズ入力!$A$2:$A$19, ①オッズ入力!$D$2:$D$19, "")="", 0, _xlfn.XLOOKUP(C429, ①オッズ入力!$A$2:$A$19, ①オッズ入力!$D$2:$D$19, 0)), 0)</f>
        <v>1.0697612695519792E-2</v>
      </c>
      <c r="G429">
        <f t="shared" si="12"/>
        <v>80545.102882009465</v>
      </c>
      <c r="H429">
        <f>IF(G429="", 0, IF(OR(A429=③資金配分!$D$1, A429=③資金配分!$D$2, B429=③資金配分!$D$1, B429=③資金配分!$D$2, C429=③資金配分!$D$1, C429=③資金配分!$D$2), 0, IF(OR(A429=③資金配分!$D$4, A429=③資金配分!$D$5, A429=③資金配分!$D$6, B429=③資金配分!$D$4, B429=③資金配分!$D$5, B429=③資金配分!$D$6, C429=③資金配分!$D$4, C429=③資金配分!$D$5, C429=③資金配分!$D$6), 0, IF(AND(③資金配分!$B$8&gt;0, G429&lt;=③資金配分!$B$8), 1, 0))))</f>
        <v>0</v>
      </c>
      <c r="I429">
        <f t="shared" si="13"/>
        <v>0</v>
      </c>
      <c r="J429">
        <f>IF(I429&gt;0, ROUND((I429 / SUM($I$2:$I$817)) * ③資金配分!$B$7, -2), 0)</f>
        <v>0</v>
      </c>
    </row>
    <row r="430" spans="1:10" x14ac:dyDescent="0.4">
      <c r="A430">
        <v>4</v>
      </c>
      <c r="B430">
        <v>11</v>
      </c>
      <c r="C430">
        <v>16</v>
      </c>
      <c r="D430">
        <f>IFERROR(IF(_xlfn.XLOOKUP(A430, ①オッズ入力!$A$2:$A$19, ①オッズ入力!$D$2:$D$19, "")="", 0, _xlfn.XLOOKUP(A430, ①オッズ入力!$A$2:$A$19, ①オッズ入力!$D$2:$D$19, 0)), 0)</f>
        <v>7.1460052806072205E-2</v>
      </c>
      <c r="E430">
        <f>IFERROR(IF(_xlfn.XLOOKUP(B430, ①オッズ入力!$A$2:$A$19, ①オッズ入力!$D$2:$D$19, "")="", 0, _xlfn.XLOOKUP(B430, ①オッズ入力!$A$2:$A$19, ①オッズ入力!$D$2:$D$19, 0)), 0)</f>
        <v>1.6240921092289137E-2</v>
      </c>
      <c r="F430">
        <f>IFERROR(IF(_xlfn.XLOOKUP(C430, ①オッズ入力!$A$2:$A$19, ①オッズ入力!$D$2:$D$19, "")="", 0, _xlfn.XLOOKUP(C430, ①オッズ入力!$A$2:$A$19, ①オッズ入力!$D$2:$D$19, 0)), 0)</f>
        <v>9.8701730395127345E-3</v>
      </c>
      <c r="G430">
        <f t="shared" si="12"/>
        <v>87297.386955950395</v>
      </c>
      <c r="H430">
        <f>IF(G430="", 0, IF(OR(A430=③資金配分!$D$1, A430=③資金配分!$D$2, B430=③資金配分!$D$1, B430=③資金配分!$D$2, C430=③資金配分!$D$1, C430=③資金配分!$D$2), 0, IF(OR(A430=③資金配分!$D$4, A430=③資金配分!$D$5, A430=③資金配分!$D$6, B430=③資金配分!$D$4, B430=③資金配分!$D$5, B430=③資金配分!$D$6, C430=③資金配分!$D$4, C430=③資金配分!$D$5, C430=③資金配分!$D$6), 0, IF(AND(③資金配分!$B$8&gt;0, G430&lt;=③資金配分!$B$8), 1, 0))))</f>
        <v>0</v>
      </c>
      <c r="I430">
        <f t="shared" si="13"/>
        <v>0</v>
      </c>
      <c r="J430">
        <f>IF(I430&gt;0, ROUND((I430 / SUM($I$2:$I$817)) * ③資金配分!$B$7, -2), 0)</f>
        <v>0</v>
      </c>
    </row>
    <row r="431" spans="1:10" x14ac:dyDescent="0.4">
      <c r="A431">
        <v>4</v>
      </c>
      <c r="B431">
        <v>11</v>
      </c>
      <c r="C431">
        <v>17</v>
      </c>
      <c r="D431">
        <f>IFERROR(IF(_xlfn.XLOOKUP(A431, ①オッズ入力!$A$2:$A$19, ①オッズ入力!$D$2:$D$19, "")="", 0, _xlfn.XLOOKUP(A431, ①オッズ入力!$A$2:$A$19, ①オッズ入力!$D$2:$D$19, 0)), 0)</f>
        <v>7.1460052806072205E-2</v>
      </c>
      <c r="E431">
        <f>IFERROR(IF(_xlfn.XLOOKUP(B431, ①オッズ入力!$A$2:$A$19, ①オッズ入力!$D$2:$D$19, "")="", 0, _xlfn.XLOOKUP(B431, ①オッズ入力!$A$2:$A$19, ①オッズ入力!$D$2:$D$19, 0)), 0)</f>
        <v>1.6240921092289137E-2</v>
      </c>
      <c r="F431">
        <f>IFERROR(IF(_xlfn.XLOOKUP(C431, ①オッズ入力!$A$2:$A$19, ①オッズ入力!$D$2:$D$19, "")="", 0, _xlfn.XLOOKUP(C431, ①オッズ入力!$A$2:$A$19, ①オッズ入力!$D$2:$D$19, 0)), 0)</f>
        <v>9.1615452315477186E-3</v>
      </c>
      <c r="G431">
        <f t="shared" si="12"/>
        <v>94049.671029891295</v>
      </c>
      <c r="H431">
        <f>IF(G431="", 0, IF(OR(A431=③資金配分!$D$1, A431=③資金配分!$D$2, B431=③資金配分!$D$1, B431=③資金配分!$D$2, C431=③資金配分!$D$1, C431=③資金配分!$D$2), 0, IF(OR(A431=③資金配分!$D$4, A431=③資金配分!$D$5, A431=③資金配分!$D$6, B431=③資金配分!$D$4, B431=③資金配分!$D$5, B431=③資金配分!$D$6, C431=③資金配分!$D$4, C431=③資金配分!$D$5, C431=③資金配分!$D$6), 0, IF(AND(③資金配分!$B$8&gt;0, G431&lt;=③資金配分!$B$8), 1, 0))))</f>
        <v>0</v>
      </c>
      <c r="I431">
        <f t="shared" si="13"/>
        <v>0</v>
      </c>
      <c r="J431">
        <f>IF(I431&gt;0, ROUND((I431 / SUM($I$2:$I$817)) * ③資金配分!$B$7, -2), 0)</f>
        <v>0</v>
      </c>
    </row>
    <row r="432" spans="1:10" x14ac:dyDescent="0.4">
      <c r="A432">
        <v>4</v>
      </c>
      <c r="B432">
        <v>11</v>
      </c>
      <c r="C432">
        <v>18</v>
      </c>
      <c r="D432">
        <f>IFERROR(IF(_xlfn.XLOOKUP(A432, ①オッズ入力!$A$2:$A$19, ①オッズ入力!$D$2:$D$19, "")="", 0, _xlfn.XLOOKUP(A432, ①オッズ入力!$A$2:$A$19, ①オッズ入力!$D$2:$D$19, 0)), 0)</f>
        <v>7.1460052806072205E-2</v>
      </c>
      <c r="E432">
        <f>IFERROR(IF(_xlfn.XLOOKUP(B432, ①オッズ入力!$A$2:$A$19, ①オッズ入力!$D$2:$D$19, "")="", 0, _xlfn.XLOOKUP(B432, ①オッズ入力!$A$2:$A$19, ①オッズ入力!$D$2:$D$19, 0)), 0)</f>
        <v>1.6240921092289137E-2</v>
      </c>
      <c r="F432">
        <f>IFERROR(IF(_xlfn.XLOOKUP(C432, ①オッズ入力!$A$2:$A$19, ①オッズ入力!$D$2:$D$19, "")="", 0, _xlfn.XLOOKUP(C432, ①オッズ入力!$A$2:$A$19, ①オッズ入力!$D$2:$D$19, 0)), 0)</f>
        <v>8.5478532064679671E-3</v>
      </c>
      <c r="G432">
        <f t="shared" si="12"/>
        <v>100801.95510383221</v>
      </c>
      <c r="H432">
        <f>IF(G432="", 0, IF(OR(A432=③資金配分!$D$1, A432=③資金配分!$D$2, B432=③資金配分!$D$1, B432=③資金配分!$D$2, C432=③資金配分!$D$1, C432=③資金配分!$D$2), 0, IF(OR(A432=③資金配分!$D$4, A432=③資金配分!$D$5, A432=③資金配分!$D$6, B432=③資金配分!$D$4, B432=③資金配分!$D$5, B432=③資金配分!$D$6, C432=③資金配分!$D$4, C432=③資金配分!$D$5, C432=③資金配分!$D$6), 0, IF(AND(③資金配分!$B$8&gt;0, G432&lt;=③資金配分!$B$8), 1, 0))))</f>
        <v>0</v>
      </c>
      <c r="I432">
        <f t="shared" si="13"/>
        <v>0</v>
      </c>
      <c r="J432">
        <f>IF(I432&gt;0, ROUND((I432 / SUM($I$2:$I$817)) * ③資金配分!$B$7, -2), 0)</f>
        <v>0</v>
      </c>
    </row>
    <row r="433" spans="1:10" x14ac:dyDescent="0.4">
      <c r="A433">
        <v>4</v>
      </c>
      <c r="B433">
        <v>12</v>
      </c>
      <c r="C433">
        <v>13</v>
      </c>
      <c r="D433">
        <f>IFERROR(IF(_xlfn.XLOOKUP(A433, ①オッズ入力!$A$2:$A$19, ①オッズ入力!$D$2:$D$19, "")="", 0, _xlfn.XLOOKUP(A433, ①オッズ入力!$A$2:$A$19, ①オッズ入力!$D$2:$D$19, 0)), 0)</f>
        <v>7.1460052806072205E-2</v>
      </c>
      <c r="E433">
        <f>IFERROR(IF(_xlfn.XLOOKUP(B433, ①オッズ入力!$A$2:$A$19, ①オッズ入力!$D$2:$D$19, "")="", 0, _xlfn.XLOOKUP(B433, ①オッズ入力!$A$2:$A$19, ①オッズ入力!$D$2:$D$19, 0)), 0)</f>
        <v>1.4887511001265043E-2</v>
      </c>
      <c r="F433">
        <f>IFERROR(IF(_xlfn.XLOOKUP(C433, ①オッズ入力!$A$2:$A$19, ①オッズ入力!$D$2:$D$19, "")="", 0, _xlfn.XLOOKUP(C433, ①オッズ入力!$A$2:$A$19, ①オッズ入力!$D$2:$D$19, 0)), 0)</f>
        <v>1.2760723715370036E-2</v>
      </c>
      <c r="G433">
        <f t="shared" si="12"/>
        <v>73661.280806628158</v>
      </c>
      <c r="H433">
        <f>IF(G433="", 0, IF(OR(A433=③資金配分!$D$1, A433=③資金配分!$D$2, B433=③資金配分!$D$1, B433=③資金配分!$D$2, C433=③資金配分!$D$1, C433=③資金配分!$D$2), 0, IF(OR(A433=③資金配分!$D$4, A433=③資金配分!$D$5, A433=③資金配分!$D$6, B433=③資金配分!$D$4, B433=③資金配分!$D$5, B433=③資金配分!$D$6, C433=③資金配分!$D$4, C433=③資金配分!$D$5, C433=③資金配分!$D$6), 0, IF(AND(③資金配分!$B$8&gt;0, G433&lt;=③資金配分!$B$8), 1, 0))))</f>
        <v>0</v>
      </c>
      <c r="I433">
        <f t="shared" si="13"/>
        <v>0</v>
      </c>
      <c r="J433">
        <f>IF(I433&gt;0, ROUND((I433 / SUM($I$2:$I$817)) * ③資金配分!$B$7, -2), 0)</f>
        <v>0</v>
      </c>
    </row>
    <row r="434" spans="1:10" x14ac:dyDescent="0.4">
      <c r="A434">
        <v>4</v>
      </c>
      <c r="B434">
        <v>12</v>
      </c>
      <c r="C434">
        <v>14</v>
      </c>
      <c r="D434">
        <f>IFERROR(IF(_xlfn.XLOOKUP(A434, ①オッズ入力!$A$2:$A$19, ①オッズ入力!$D$2:$D$19, "")="", 0, _xlfn.XLOOKUP(A434, ①オッズ入力!$A$2:$A$19, ①オッズ入力!$D$2:$D$19, 0)), 0)</f>
        <v>7.1460052806072205E-2</v>
      </c>
      <c r="E434">
        <f>IFERROR(IF(_xlfn.XLOOKUP(B434, ①オッズ入力!$A$2:$A$19, ①オッズ入力!$D$2:$D$19, "")="", 0, _xlfn.XLOOKUP(B434, ①オッズ入力!$A$2:$A$19, ①オッズ入力!$D$2:$D$19, 0)), 0)</f>
        <v>1.4887511001265043E-2</v>
      </c>
      <c r="F434">
        <f>IFERROR(IF(_xlfn.XLOOKUP(C434, ①オッズ入力!$A$2:$A$19, ①オッズ入力!$D$2:$D$19, "")="", 0, _xlfn.XLOOKUP(C434, ①オッズ入力!$A$2:$A$19, ①オッズ入力!$D$2:$D$19, 0)), 0)</f>
        <v>1.1525814968721322E-2</v>
      </c>
      <c r="G434">
        <f t="shared" si="12"/>
        <v>81553.560893052607</v>
      </c>
      <c r="H434">
        <f>IF(G434="", 0, IF(OR(A434=③資金配分!$D$1, A434=③資金配分!$D$2, B434=③資金配分!$D$1, B434=③資金配分!$D$2, C434=③資金配分!$D$1, C434=③資金配分!$D$2), 0, IF(OR(A434=③資金配分!$D$4, A434=③資金配分!$D$5, A434=③資金配分!$D$6, B434=③資金配分!$D$4, B434=③資金配分!$D$5, B434=③資金配分!$D$6, C434=③資金配分!$D$4, C434=③資金配分!$D$5, C434=③資金配分!$D$6), 0, IF(AND(③資金配分!$B$8&gt;0, G434&lt;=③資金配分!$B$8), 1, 0))))</f>
        <v>0</v>
      </c>
      <c r="I434">
        <f t="shared" si="13"/>
        <v>0</v>
      </c>
      <c r="J434">
        <f>IF(I434&gt;0, ROUND((I434 / SUM($I$2:$I$817)) * ③資金配分!$B$7, -2), 0)</f>
        <v>0</v>
      </c>
    </row>
    <row r="435" spans="1:10" x14ac:dyDescent="0.4">
      <c r="A435">
        <v>4</v>
      </c>
      <c r="B435">
        <v>12</v>
      </c>
      <c r="C435">
        <v>15</v>
      </c>
      <c r="D435">
        <f>IFERROR(IF(_xlfn.XLOOKUP(A435, ①オッズ入力!$A$2:$A$19, ①オッズ入力!$D$2:$D$19, "")="", 0, _xlfn.XLOOKUP(A435, ①オッズ入力!$A$2:$A$19, ①オッズ入力!$D$2:$D$19, 0)), 0)</f>
        <v>7.1460052806072205E-2</v>
      </c>
      <c r="E435">
        <f>IFERROR(IF(_xlfn.XLOOKUP(B435, ①オッズ入力!$A$2:$A$19, ①オッズ入力!$D$2:$D$19, "")="", 0, _xlfn.XLOOKUP(B435, ①オッズ入力!$A$2:$A$19, ①オッズ入力!$D$2:$D$19, 0)), 0)</f>
        <v>1.4887511001265043E-2</v>
      </c>
      <c r="F435">
        <f>IFERROR(IF(_xlfn.XLOOKUP(C435, ①オッズ入力!$A$2:$A$19, ①オッズ入力!$D$2:$D$19, "")="", 0, _xlfn.XLOOKUP(C435, ①オッズ入力!$A$2:$A$19, ①オッズ入力!$D$2:$D$19, 0)), 0)</f>
        <v>1.0697612695519792E-2</v>
      </c>
      <c r="G435">
        <f t="shared" si="12"/>
        <v>87867.384962192169</v>
      </c>
      <c r="H435">
        <f>IF(G435="", 0, IF(OR(A435=③資金配分!$D$1, A435=③資金配分!$D$2, B435=③資金配分!$D$1, B435=③資金配分!$D$2, C435=③資金配分!$D$1, C435=③資金配分!$D$2), 0, IF(OR(A435=③資金配分!$D$4, A435=③資金配分!$D$5, A435=③資金配分!$D$6, B435=③資金配分!$D$4, B435=③資金配分!$D$5, B435=③資金配分!$D$6, C435=③資金配分!$D$4, C435=③資金配分!$D$5, C435=③資金配分!$D$6), 0, IF(AND(③資金配分!$B$8&gt;0, G435&lt;=③資金配分!$B$8), 1, 0))))</f>
        <v>0</v>
      </c>
      <c r="I435">
        <f t="shared" si="13"/>
        <v>0</v>
      </c>
      <c r="J435">
        <f>IF(I435&gt;0, ROUND((I435 / SUM($I$2:$I$817)) * ③資金配分!$B$7, -2), 0)</f>
        <v>0</v>
      </c>
    </row>
    <row r="436" spans="1:10" x14ac:dyDescent="0.4">
      <c r="A436">
        <v>4</v>
      </c>
      <c r="B436">
        <v>12</v>
      </c>
      <c r="C436">
        <v>16</v>
      </c>
      <c r="D436">
        <f>IFERROR(IF(_xlfn.XLOOKUP(A436, ①オッズ入力!$A$2:$A$19, ①オッズ入力!$D$2:$D$19, "")="", 0, _xlfn.XLOOKUP(A436, ①オッズ入力!$A$2:$A$19, ①オッズ入力!$D$2:$D$19, 0)), 0)</f>
        <v>7.1460052806072205E-2</v>
      </c>
      <c r="E436">
        <f>IFERROR(IF(_xlfn.XLOOKUP(B436, ①オッズ入力!$A$2:$A$19, ①オッズ入力!$D$2:$D$19, "")="", 0, _xlfn.XLOOKUP(B436, ①オッズ入力!$A$2:$A$19, ①オッズ入力!$D$2:$D$19, 0)), 0)</f>
        <v>1.4887511001265043E-2</v>
      </c>
      <c r="F436">
        <f>IFERROR(IF(_xlfn.XLOOKUP(C436, ①オッズ入力!$A$2:$A$19, ①オッズ入力!$D$2:$D$19, "")="", 0, _xlfn.XLOOKUP(C436, ①オッズ入力!$A$2:$A$19, ①オッズ入力!$D$2:$D$19, 0)), 0)</f>
        <v>9.8701730395127345E-3</v>
      </c>
      <c r="G436">
        <f t="shared" si="12"/>
        <v>95233.513042854989</v>
      </c>
      <c r="H436">
        <f>IF(G436="", 0, IF(OR(A436=③資金配分!$D$1, A436=③資金配分!$D$2, B436=③資金配分!$D$1, B436=③資金配分!$D$2, C436=③資金配分!$D$1, C436=③資金配分!$D$2), 0, IF(OR(A436=③資金配分!$D$4, A436=③資金配分!$D$5, A436=③資金配分!$D$6, B436=③資金配分!$D$4, B436=③資金配分!$D$5, B436=③資金配分!$D$6, C436=③資金配分!$D$4, C436=③資金配分!$D$5, C436=③資金配分!$D$6), 0, IF(AND(③資金配分!$B$8&gt;0, G436&lt;=③資金配分!$B$8), 1, 0))))</f>
        <v>0</v>
      </c>
      <c r="I436">
        <f t="shared" si="13"/>
        <v>0</v>
      </c>
      <c r="J436">
        <f>IF(I436&gt;0, ROUND((I436 / SUM($I$2:$I$817)) * ③資金配分!$B$7, -2), 0)</f>
        <v>0</v>
      </c>
    </row>
    <row r="437" spans="1:10" x14ac:dyDescent="0.4">
      <c r="A437">
        <v>4</v>
      </c>
      <c r="B437">
        <v>12</v>
      </c>
      <c r="C437">
        <v>17</v>
      </c>
      <c r="D437">
        <f>IFERROR(IF(_xlfn.XLOOKUP(A437, ①オッズ入力!$A$2:$A$19, ①オッズ入力!$D$2:$D$19, "")="", 0, _xlfn.XLOOKUP(A437, ①オッズ入力!$A$2:$A$19, ①オッズ入力!$D$2:$D$19, 0)), 0)</f>
        <v>7.1460052806072205E-2</v>
      </c>
      <c r="E437">
        <f>IFERROR(IF(_xlfn.XLOOKUP(B437, ①オッズ入力!$A$2:$A$19, ①オッズ入力!$D$2:$D$19, "")="", 0, _xlfn.XLOOKUP(B437, ①オッズ入力!$A$2:$A$19, ①オッズ入力!$D$2:$D$19, 0)), 0)</f>
        <v>1.4887511001265043E-2</v>
      </c>
      <c r="F437">
        <f>IFERROR(IF(_xlfn.XLOOKUP(C437, ①オッズ入力!$A$2:$A$19, ①オッズ入力!$D$2:$D$19, "")="", 0, _xlfn.XLOOKUP(C437, ①オッズ入力!$A$2:$A$19, ①オッズ入力!$D$2:$D$19, 0)), 0)</f>
        <v>9.1615452315477186E-3</v>
      </c>
      <c r="G437">
        <f t="shared" si="12"/>
        <v>102599.64112351779</v>
      </c>
      <c r="H437">
        <f>IF(G437="", 0, IF(OR(A437=③資金配分!$D$1, A437=③資金配分!$D$2, B437=③資金配分!$D$1, B437=③資金配分!$D$2, C437=③資金配分!$D$1, C437=③資金配分!$D$2), 0, IF(OR(A437=③資金配分!$D$4, A437=③資金配分!$D$5, A437=③資金配分!$D$6, B437=③資金配分!$D$4, B437=③資金配分!$D$5, B437=③資金配分!$D$6, C437=③資金配分!$D$4, C437=③資金配分!$D$5, C437=③資金配分!$D$6), 0, IF(AND(③資金配分!$B$8&gt;0, G437&lt;=③資金配分!$B$8), 1, 0))))</f>
        <v>0</v>
      </c>
      <c r="I437">
        <f t="shared" si="13"/>
        <v>0</v>
      </c>
      <c r="J437">
        <f>IF(I437&gt;0, ROUND((I437 / SUM($I$2:$I$817)) * ③資金配分!$B$7, -2), 0)</f>
        <v>0</v>
      </c>
    </row>
    <row r="438" spans="1:10" x14ac:dyDescent="0.4">
      <c r="A438">
        <v>4</v>
      </c>
      <c r="B438">
        <v>12</v>
      </c>
      <c r="C438">
        <v>18</v>
      </c>
      <c r="D438">
        <f>IFERROR(IF(_xlfn.XLOOKUP(A438, ①オッズ入力!$A$2:$A$19, ①オッズ入力!$D$2:$D$19, "")="", 0, _xlfn.XLOOKUP(A438, ①オッズ入力!$A$2:$A$19, ①オッズ入力!$D$2:$D$19, 0)), 0)</f>
        <v>7.1460052806072205E-2</v>
      </c>
      <c r="E438">
        <f>IFERROR(IF(_xlfn.XLOOKUP(B438, ①オッズ入力!$A$2:$A$19, ①オッズ入力!$D$2:$D$19, "")="", 0, _xlfn.XLOOKUP(B438, ①オッズ入力!$A$2:$A$19, ①オッズ入力!$D$2:$D$19, 0)), 0)</f>
        <v>1.4887511001265043E-2</v>
      </c>
      <c r="F438">
        <f>IFERROR(IF(_xlfn.XLOOKUP(C438, ①オッズ入力!$A$2:$A$19, ①オッズ入力!$D$2:$D$19, "")="", 0, _xlfn.XLOOKUP(C438, ①オッズ入力!$A$2:$A$19, ①オッズ入力!$D$2:$D$19, 0)), 0)</f>
        <v>8.5478532064679671E-3</v>
      </c>
      <c r="G438">
        <f t="shared" si="12"/>
        <v>109965.76920418061</v>
      </c>
      <c r="H438">
        <f>IF(G438="", 0, IF(OR(A438=③資金配分!$D$1, A438=③資金配分!$D$2, B438=③資金配分!$D$1, B438=③資金配分!$D$2, C438=③資金配分!$D$1, C438=③資金配分!$D$2), 0, IF(OR(A438=③資金配分!$D$4, A438=③資金配分!$D$5, A438=③資金配分!$D$6, B438=③資金配分!$D$4, B438=③資金配分!$D$5, B438=③資金配分!$D$6, C438=③資金配分!$D$4, C438=③資金配分!$D$5, C438=③資金配分!$D$6), 0, IF(AND(③資金配分!$B$8&gt;0, G438&lt;=③資金配分!$B$8), 1, 0))))</f>
        <v>0</v>
      </c>
      <c r="I438">
        <f t="shared" si="13"/>
        <v>0</v>
      </c>
      <c r="J438">
        <f>IF(I438&gt;0, ROUND((I438 / SUM($I$2:$I$817)) * ③資金配分!$B$7, -2), 0)</f>
        <v>0</v>
      </c>
    </row>
    <row r="439" spans="1:10" x14ac:dyDescent="0.4">
      <c r="A439">
        <v>4</v>
      </c>
      <c r="B439">
        <v>13</v>
      </c>
      <c r="C439">
        <v>14</v>
      </c>
      <c r="D439">
        <f>IFERROR(IF(_xlfn.XLOOKUP(A439, ①オッズ入力!$A$2:$A$19, ①オッズ入力!$D$2:$D$19, "")="", 0, _xlfn.XLOOKUP(A439, ①オッズ入力!$A$2:$A$19, ①オッズ入力!$D$2:$D$19, 0)), 0)</f>
        <v>7.1460052806072205E-2</v>
      </c>
      <c r="E439">
        <f>IFERROR(IF(_xlfn.XLOOKUP(B439, ①オッズ入力!$A$2:$A$19, ①オッズ入力!$D$2:$D$19, "")="", 0, _xlfn.XLOOKUP(B439, ①オッズ入力!$A$2:$A$19, ①オッズ入力!$D$2:$D$19, 0)), 0)</f>
        <v>1.2760723715370036E-2</v>
      </c>
      <c r="F439">
        <f>IFERROR(IF(_xlfn.XLOOKUP(C439, ①オッズ入力!$A$2:$A$19, ①オッズ入力!$D$2:$D$19, "")="", 0, _xlfn.XLOOKUP(C439, ①オッズ入力!$A$2:$A$19, ①オッズ入力!$D$2:$D$19, 0)), 0)</f>
        <v>1.1525814968721322E-2</v>
      </c>
      <c r="G439">
        <f t="shared" si="12"/>
        <v>95145.821041894713</v>
      </c>
      <c r="H439">
        <f>IF(G439="", 0, IF(OR(A439=③資金配分!$D$1, A439=③資金配分!$D$2, B439=③資金配分!$D$1, B439=③資金配分!$D$2, C439=③資金配分!$D$1, C439=③資金配分!$D$2), 0, IF(OR(A439=③資金配分!$D$4, A439=③資金配分!$D$5, A439=③資金配分!$D$6, B439=③資金配分!$D$4, B439=③資金配分!$D$5, B439=③資金配分!$D$6, C439=③資金配分!$D$4, C439=③資金配分!$D$5, C439=③資金配分!$D$6), 0, IF(AND(③資金配分!$B$8&gt;0, G439&lt;=③資金配分!$B$8), 1, 0))))</f>
        <v>0</v>
      </c>
      <c r="I439">
        <f t="shared" si="13"/>
        <v>0</v>
      </c>
      <c r="J439">
        <f>IF(I439&gt;0, ROUND((I439 / SUM($I$2:$I$817)) * ③資金配分!$B$7, -2), 0)</f>
        <v>0</v>
      </c>
    </row>
    <row r="440" spans="1:10" x14ac:dyDescent="0.4">
      <c r="A440">
        <v>4</v>
      </c>
      <c r="B440">
        <v>13</v>
      </c>
      <c r="C440">
        <v>15</v>
      </c>
      <c r="D440">
        <f>IFERROR(IF(_xlfn.XLOOKUP(A440, ①オッズ入力!$A$2:$A$19, ①オッズ入力!$D$2:$D$19, "")="", 0, _xlfn.XLOOKUP(A440, ①オッズ入力!$A$2:$A$19, ①オッズ入力!$D$2:$D$19, 0)), 0)</f>
        <v>7.1460052806072205E-2</v>
      </c>
      <c r="E440">
        <f>IFERROR(IF(_xlfn.XLOOKUP(B440, ①オッズ入力!$A$2:$A$19, ①オッズ入力!$D$2:$D$19, "")="", 0, _xlfn.XLOOKUP(B440, ①オッズ入力!$A$2:$A$19, ①オッズ入力!$D$2:$D$19, 0)), 0)</f>
        <v>1.2760723715370036E-2</v>
      </c>
      <c r="F440">
        <f>IFERROR(IF(_xlfn.XLOOKUP(C440, ①オッズ入力!$A$2:$A$19, ①オッズ入力!$D$2:$D$19, "")="", 0, _xlfn.XLOOKUP(C440, ①オッズ入力!$A$2:$A$19, ①オッズ入力!$D$2:$D$19, 0)), 0)</f>
        <v>1.0697612695519792E-2</v>
      </c>
      <c r="G440">
        <f t="shared" si="12"/>
        <v>102511.9491225575</v>
      </c>
      <c r="H440">
        <f>IF(G440="", 0, IF(OR(A440=③資金配分!$D$1, A440=③資金配分!$D$2, B440=③資金配分!$D$1, B440=③資金配分!$D$2, C440=③資金配分!$D$1, C440=③資金配分!$D$2), 0, IF(OR(A440=③資金配分!$D$4, A440=③資金配分!$D$5, A440=③資金配分!$D$6, B440=③資金配分!$D$4, B440=③資金配分!$D$5, B440=③資金配分!$D$6, C440=③資金配分!$D$4, C440=③資金配分!$D$5, C440=③資金配分!$D$6), 0, IF(AND(③資金配分!$B$8&gt;0, G440&lt;=③資金配分!$B$8), 1, 0))))</f>
        <v>0</v>
      </c>
      <c r="I440">
        <f t="shared" si="13"/>
        <v>0</v>
      </c>
      <c r="J440">
        <f>IF(I440&gt;0, ROUND((I440 / SUM($I$2:$I$817)) * ③資金配分!$B$7, -2), 0)</f>
        <v>0</v>
      </c>
    </row>
    <row r="441" spans="1:10" x14ac:dyDescent="0.4">
      <c r="A441">
        <v>4</v>
      </c>
      <c r="B441">
        <v>13</v>
      </c>
      <c r="C441">
        <v>16</v>
      </c>
      <c r="D441">
        <f>IFERROR(IF(_xlfn.XLOOKUP(A441, ①オッズ入力!$A$2:$A$19, ①オッズ入力!$D$2:$D$19, "")="", 0, _xlfn.XLOOKUP(A441, ①オッズ入力!$A$2:$A$19, ①オッズ入力!$D$2:$D$19, 0)), 0)</f>
        <v>7.1460052806072205E-2</v>
      </c>
      <c r="E441">
        <f>IFERROR(IF(_xlfn.XLOOKUP(B441, ①オッズ入力!$A$2:$A$19, ①オッズ入力!$D$2:$D$19, "")="", 0, _xlfn.XLOOKUP(B441, ①オッズ入力!$A$2:$A$19, ①オッズ入力!$D$2:$D$19, 0)), 0)</f>
        <v>1.2760723715370036E-2</v>
      </c>
      <c r="F441">
        <f>IFERROR(IF(_xlfn.XLOOKUP(C441, ①オッズ入力!$A$2:$A$19, ①オッズ入力!$D$2:$D$19, "")="", 0, _xlfn.XLOOKUP(C441, ①オッズ入力!$A$2:$A$19, ①オッズ入力!$D$2:$D$19, 0)), 0)</f>
        <v>9.8701730395127345E-3</v>
      </c>
      <c r="G441">
        <f t="shared" si="12"/>
        <v>111105.76521666415</v>
      </c>
      <c r="H441">
        <f>IF(G441="", 0, IF(OR(A441=③資金配分!$D$1, A441=③資金配分!$D$2, B441=③資金配分!$D$1, B441=③資金配分!$D$2, C441=③資金配分!$D$1, C441=③資金配分!$D$2), 0, IF(OR(A441=③資金配分!$D$4, A441=③資金配分!$D$5, A441=③資金配分!$D$6, B441=③資金配分!$D$4, B441=③資金配分!$D$5, B441=③資金配分!$D$6, C441=③資金配分!$D$4, C441=③資金配分!$D$5, C441=③資金配分!$D$6), 0, IF(AND(③資金配分!$B$8&gt;0, G441&lt;=③資金配分!$B$8), 1, 0))))</f>
        <v>0</v>
      </c>
      <c r="I441">
        <f t="shared" si="13"/>
        <v>0</v>
      </c>
      <c r="J441">
        <f>IF(I441&gt;0, ROUND((I441 / SUM($I$2:$I$817)) * ③資金配分!$B$7, -2), 0)</f>
        <v>0</v>
      </c>
    </row>
    <row r="442" spans="1:10" x14ac:dyDescent="0.4">
      <c r="A442">
        <v>4</v>
      </c>
      <c r="B442">
        <v>13</v>
      </c>
      <c r="C442">
        <v>17</v>
      </c>
      <c r="D442">
        <f>IFERROR(IF(_xlfn.XLOOKUP(A442, ①オッズ入力!$A$2:$A$19, ①オッズ入力!$D$2:$D$19, "")="", 0, _xlfn.XLOOKUP(A442, ①オッズ入力!$A$2:$A$19, ①オッズ入力!$D$2:$D$19, 0)), 0)</f>
        <v>7.1460052806072205E-2</v>
      </c>
      <c r="E442">
        <f>IFERROR(IF(_xlfn.XLOOKUP(B442, ①オッズ入力!$A$2:$A$19, ①オッズ入力!$D$2:$D$19, "")="", 0, _xlfn.XLOOKUP(B442, ①オッズ入力!$A$2:$A$19, ①オッズ入力!$D$2:$D$19, 0)), 0)</f>
        <v>1.2760723715370036E-2</v>
      </c>
      <c r="F442">
        <f>IFERROR(IF(_xlfn.XLOOKUP(C442, ①オッズ入力!$A$2:$A$19, ①オッズ入力!$D$2:$D$19, "")="", 0, _xlfn.XLOOKUP(C442, ①オッズ入力!$A$2:$A$19, ①オッズ入力!$D$2:$D$19, 0)), 0)</f>
        <v>9.1615452315477186E-3</v>
      </c>
      <c r="G442">
        <f t="shared" si="12"/>
        <v>119699.58131077077</v>
      </c>
      <c r="H442">
        <f>IF(G442="", 0, IF(OR(A442=③資金配分!$D$1, A442=③資金配分!$D$2, B442=③資金配分!$D$1, B442=③資金配分!$D$2, C442=③資金配分!$D$1, C442=③資金配分!$D$2), 0, IF(OR(A442=③資金配分!$D$4, A442=③資金配分!$D$5, A442=③資金配分!$D$6, B442=③資金配分!$D$4, B442=③資金配分!$D$5, B442=③資金配分!$D$6, C442=③資金配分!$D$4, C442=③資金配分!$D$5, C442=③資金配分!$D$6), 0, IF(AND(③資金配分!$B$8&gt;0, G442&lt;=③資金配分!$B$8), 1, 0))))</f>
        <v>0</v>
      </c>
      <c r="I442">
        <f t="shared" si="13"/>
        <v>0</v>
      </c>
      <c r="J442">
        <f>IF(I442&gt;0, ROUND((I442 / SUM($I$2:$I$817)) * ③資金配分!$B$7, -2), 0)</f>
        <v>0</v>
      </c>
    </row>
    <row r="443" spans="1:10" x14ac:dyDescent="0.4">
      <c r="A443">
        <v>4</v>
      </c>
      <c r="B443">
        <v>13</v>
      </c>
      <c r="C443">
        <v>18</v>
      </c>
      <c r="D443">
        <f>IFERROR(IF(_xlfn.XLOOKUP(A443, ①オッズ入力!$A$2:$A$19, ①オッズ入力!$D$2:$D$19, "")="", 0, _xlfn.XLOOKUP(A443, ①オッズ入力!$A$2:$A$19, ①オッズ入力!$D$2:$D$19, 0)), 0)</f>
        <v>7.1460052806072205E-2</v>
      </c>
      <c r="E443">
        <f>IFERROR(IF(_xlfn.XLOOKUP(B443, ①オッズ入力!$A$2:$A$19, ①オッズ入力!$D$2:$D$19, "")="", 0, _xlfn.XLOOKUP(B443, ①オッズ入力!$A$2:$A$19, ①オッズ入力!$D$2:$D$19, 0)), 0)</f>
        <v>1.2760723715370036E-2</v>
      </c>
      <c r="F443">
        <f>IFERROR(IF(_xlfn.XLOOKUP(C443, ①オッズ入力!$A$2:$A$19, ①オッズ入力!$D$2:$D$19, "")="", 0, _xlfn.XLOOKUP(C443, ①オッズ入力!$A$2:$A$19, ①オッズ入力!$D$2:$D$19, 0)), 0)</f>
        <v>8.5478532064679671E-3</v>
      </c>
      <c r="G443">
        <f t="shared" si="12"/>
        <v>128293.39740487737</v>
      </c>
      <c r="H443">
        <f>IF(G443="", 0, IF(OR(A443=③資金配分!$D$1, A443=③資金配分!$D$2, B443=③資金配分!$D$1, B443=③資金配分!$D$2, C443=③資金配分!$D$1, C443=③資金配分!$D$2), 0, IF(OR(A443=③資金配分!$D$4, A443=③資金配分!$D$5, A443=③資金配分!$D$6, B443=③資金配分!$D$4, B443=③資金配分!$D$5, B443=③資金配分!$D$6, C443=③資金配分!$D$4, C443=③資金配分!$D$5, C443=③資金配分!$D$6), 0, IF(AND(③資金配分!$B$8&gt;0, G443&lt;=③資金配分!$B$8), 1, 0))))</f>
        <v>0</v>
      </c>
      <c r="I443">
        <f t="shared" si="13"/>
        <v>0</v>
      </c>
      <c r="J443">
        <f>IF(I443&gt;0, ROUND((I443 / SUM($I$2:$I$817)) * ③資金配分!$B$7, -2), 0)</f>
        <v>0</v>
      </c>
    </row>
    <row r="444" spans="1:10" x14ac:dyDescent="0.4">
      <c r="A444">
        <v>4</v>
      </c>
      <c r="B444">
        <v>14</v>
      </c>
      <c r="C444">
        <v>15</v>
      </c>
      <c r="D444">
        <f>IFERROR(IF(_xlfn.XLOOKUP(A444, ①オッズ入力!$A$2:$A$19, ①オッズ入力!$D$2:$D$19, "")="", 0, _xlfn.XLOOKUP(A444, ①オッズ入力!$A$2:$A$19, ①オッズ入力!$D$2:$D$19, 0)), 0)</f>
        <v>7.1460052806072205E-2</v>
      </c>
      <c r="E444">
        <f>IFERROR(IF(_xlfn.XLOOKUP(B444, ①オッズ入力!$A$2:$A$19, ①オッズ入力!$D$2:$D$19, "")="", 0, _xlfn.XLOOKUP(B444, ①オッズ入力!$A$2:$A$19, ①オッズ入力!$D$2:$D$19, 0)), 0)</f>
        <v>1.1525814968721322E-2</v>
      </c>
      <c r="F444">
        <f>IFERROR(IF(_xlfn.XLOOKUP(C444, ①オッズ入力!$A$2:$A$19, ①オッズ入力!$D$2:$D$19, "")="", 0, _xlfn.XLOOKUP(C444, ①オッズ入力!$A$2:$A$19, ①オッズ入力!$D$2:$D$19, 0)), 0)</f>
        <v>1.0697612695519792E-2</v>
      </c>
      <c r="G444">
        <f t="shared" si="12"/>
        <v>113495.37224283154</v>
      </c>
      <c r="H444">
        <f>IF(G444="", 0, IF(OR(A444=③資金配分!$D$1, A444=③資金配分!$D$2, B444=③資金配分!$D$1, B444=③資金配分!$D$2, C444=③資金配分!$D$1, C444=③資金配分!$D$2), 0, IF(OR(A444=③資金配分!$D$4, A444=③資金配分!$D$5, A444=③資金配分!$D$6, B444=③資金配分!$D$4, B444=③資金配分!$D$5, B444=③資金配分!$D$6, C444=③資金配分!$D$4, C444=③資金配分!$D$5, C444=③資金配分!$D$6), 0, IF(AND(③資金配分!$B$8&gt;0, G444&lt;=③資金配分!$B$8), 1, 0))))</f>
        <v>0</v>
      </c>
      <c r="I444">
        <f t="shared" si="13"/>
        <v>0</v>
      </c>
      <c r="J444">
        <f>IF(I444&gt;0, ROUND((I444 / SUM($I$2:$I$817)) * ③資金配分!$B$7, -2), 0)</f>
        <v>0</v>
      </c>
    </row>
    <row r="445" spans="1:10" x14ac:dyDescent="0.4">
      <c r="A445">
        <v>4</v>
      </c>
      <c r="B445">
        <v>14</v>
      </c>
      <c r="C445">
        <v>16</v>
      </c>
      <c r="D445">
        <f>IFERROR(IF(_xlfn.XLOOKUP(A445, ①オッズ入力!$A$2:$A$19, ①オッズ入力!$D$2:$D$19, "")="", 0, _xlfn.XLOOKUP(A445, ①オッズ入力!$A$2:$A$19, ①オッズ入力!$D$2:$D$19, 0)), 0)</f>
        <v>7.1460052806072205E-2</v>
      </c>
      <c r="E445">
        <f>IFERROR(IF(_xlfn.XLOOKUP(B445, ①オッズ入力!$A$2:$A$19, ①オッズ入力!$D$2:$D$19, "")="", 0, _xlfn.XLOOKUP(B445, ①オッズ入力!$A$2:$A$19, ①オッズ入力!$D$2:$D$19, 0)), 0)</f>
        <v>1.1525814968721322E-2</v>
      </c>
      <c r="F445">
        <f>IFERROR(IF(_xlfn.XLOOKUP(C445, ①オッズ入力!$A$2:$A$19, ①オッズ入力!$D$2:$D$19, "")="", 0, _xlfn.XLOOKUP(C445, ①オッズ入力!$A$2:$A$19, ①オッズ入力!$D$2:$D$19, 0)), 0)</f>
        <v>9.8701730395127345E-3</v>
      </c>
      <c r="G445">
        <f t="shared" si="12"/>
        <v>123009.95434702102</v>
      </c>
      <c r="H445">
        <f>IF(G445="", 0, IF(OR(A445=③資金配分!$D$1, A445=③資金配分!$D$2, B445=③資金配分!$D$1, B445=③資金配分!$D$2, C445=③資金配分!$D$1, C445=③資金配分!$D$2), 0, IF(OR(A445=③資金配分!$D$4, A445=③資金配分!$D$5, A445=③資金配分!$D$6, B445=③資金配分!$D$4, B445=③資金配分!$D$5, B445=③資金配分!$D$6, C445=③資金配分!$D$4, C445=③資金配分!$D$5, C445=③資金配分!$D$6), 0, IF(AND(③資金配分!$B$8&gt;0, G445&lt;=③資金配分!$B$8), 1, 0))))</f>
        <v>0</v>
      </c>
      <c r="I445">
        <f t="shared" si="13"/>
        <v>0</v>
      </c>
      <c r="J445">
        <f>IF(I445&gt;0, ROUND((I445 / SUM($I$2:$I$817)) * ③資金配分!$B$7, -2), 0)</f>
        <v>0</v>
      </c>
    </row>
    <row r="446" spans="1:10" x14ac:dyDescent="0.4">
      <c r="A446">
        <v>4</v>
      </c>
      <c r="B446">
        <v>14</v>
      </c>
      <c r="C446">
        <v>17</v>
      </c>
      <c r="D446">
        <f>IFERROR(IF(_xlfn.XLOOKUP(A446, ①オッズ入力!$A$2:$A$19, ①オッズ入力!$D$2:$D$19, "")="", 0, _xlfn.XLOOKUP(A446, ①オッズ入力!$A$2:$A$19, ①オッズ入力!$D$2:$D$19, 0)), 0)</f>
        <v>7.1460052806072205E-2</v>
      </c>
      <c r="E446">
        <f>IFERROR(IF(_xlfn.XLOOKUP(B446, ①オッズ入力!$A$2:$A$19, ①オッズ入力!$D$2:$D$19, "")="", 0, _xlfn.XLOOKUP(B446, ①オッズ入力!$A$2:$A$19, ①オッズ入力!$D$2:$D$19, 0)), 0)</f>
        <v>1.1525814968721322E-2</v>
      </c>
      <c r="F446">
        <f>IFERROR(IF(_xlfn.XLOOKUP(C446, ①オッズ入力!$A$2:$A$19, ①オッズ入力!$D$2:$D$19, "")="", 0, _xlfn.XLOOKUP(C446, ①オッズ入力!$A$2:$A$19, ①オッズ入力!$D$2:$D$19, 0)), 0)</f>
        <v>9.1615452315477186E-3</v>
      </c>
      <c r="G446">
        <f t="shared" si="12"/>
        <v>132524.53645121047</v>
      </c>
      <c r="H446">
        <f>IF(G446="", 0, IF(OR(A446=③資金配分!$D$1, A446=③資金配分!$D$2, B446=③資金配分!$D$1, B446=③資金配分!$D$2, C446=③資金配分!$D$1, C446=③資金配分!$D$2), 0, IF(OR(A446=③資金配分!$D$4, A446=③資金配分!$D$5, A446=③資金配分!$D$6, B446=③資金配分!$D$4, B446=③資金配分!$D$5, B446=③資金配分!$D$6, C446=③資金配分!$D$4, C446=③資金配分!$D$5, C446=③資金配分!$D$6), 0, IF(AND(③資金配分!$B$8&gt;0, G446&lt;=③資金配分!$B$8), 1, 0))))</f>
        <v>0</v>
      </c>
      <c r="I446">
        <f t="shared" si="13"/>
        <v>0</v>
      </c>
      <c r="J446">
        <f>IF(I446&gt;0, ROUND((I446 / SUM($I$2:$I$817)) * ③資金配分!$B$7, -2), 0)</f>
        <v>0</v>
      </c>
    </row>
    <row r="447" spans="1:10" x14ac:dyDescent="0.4">
      <c r="A447">
        <v>4</v>
      </c>
      <c r="B447">
        <v>14</v>
      </c>
      <c r="C447">
        <v>18</v>
      </c>
      <c r="D447">
        <f>IFERROR(IF(_xlfn.XLOOKUP(A447, ①オッズ入力!$A$2:$A$19, ①オッズ入力!$D$2:$D$19, "")="", 0, _xlfn.XLOOKUP(A447, ①オッズ入力!$A$2:$A$19, ①オッズ入力!$D$2:$D$19, 0)), 0)</f>
        <v>7.1460052806072205E-2</v>
      </c>
      <c r="E447">
        <f>IFERROR(IF(_xlfn.XLOOKUP(B447, ①オッズ入力!$A$2:$A$19, ①オッズ入力!$D$2:$D$19, "")="", 0, _xlfn.XLOOKUP(B447, ①オッズ入力!$A$2:$A$19, ①オッズ入力!$D$2:$D$19, 0)), 0)</f>
        <v>1.1525814968721322E-2</v>
      </c>
      <c r="F447">
        <f>IFERROR(IF(_xlfn.XLOOKUP(C447, ①オッズ入力!$A$2:$A$19, ①オッズ入力!$D$2:$D$19, "")="", 0, _xlfn.XLOOKUP(C447, ①オッズ入力!$A$2:$A$19, ①オッズ入力!$D$2:$D$19, 0)), 0)</f>
        <v>8.5478532064679671E-3</v>
      </c>
      <c r="G447">
        <f t="shared" si="12"/>
        <v>142039.11855539997</v>
      </c>
      <c r="H447">
        <f>IF(G447="", 0, IF(OR(A447=③資金配分!$D$1, A447=③資金配分!$D$2, B447=③資金配分!$D$1, B447=③資金配分!$D$2, C447=③資金配分!$D$1, C447=③資金配分!$D$2), 0, IF(OR(A447=③資金配分!$D$4, A447=③資金配分!$D$5, A447=③資金配分!$D$6, B447=③資金配分!$D$4, B447=③資金配分!$D$5, B447=③資金配分!$D$6, C447=③資金配分!$D$4, C447=③資金配分!$D$5, C447=③資金配分!$D$6), 0, IF(AND(③資金配分!$B$8&gt;0, G447&lt;=③資金配分!$B$8), 1, 0))))</f>
        <v>0</v>
      </c>
      <c r="I447">
        <f t="shared" si="13"/>
        <v>0</v>
      </c>
      <c r="J447">
        <f>IF(I447&gt;0, ROUND((I447 / SUM($I$2:$I$817)) * ③資金配分!$B$7, -2), 0)</f>
        <v>0</v>
      </c>
    </row>
    <row r="448" spans="1:10" x14ac:dyDescent="0.4">
      <c r="A448">
        <v>4</v>
      </c>
      <c r="B448">
        <v>15</v>
      </c>
      <c r="C448">
        <v>16</v>
      </c>
      <c r="D448">
        <f>IFERROR(IF(_xlfn.XLOOKUP(A448, ①オッズ入力!$A$2:$A$19, ①オッズ入力!$D$2:$D$19, "")="", 0, _xlfn.XLOOKUP(A448, ①オッズ入力!$A$2:$A$19, ①オッズ入力!$D$2:$D$19, 0)), 0)</f>
        <v>7.1460052806072205E-2</v>
      </c>
      <c r="E448">
        <f>IFERROR(IF(_xlfn.XLOOKUP(B448, ①オッズ入力!$A$2:$A$19, ①オッズ入力!$D$2:$D$19, "")="", 0, _xlfn.XLOOKUP(B448, ①オッズ入力!$A$2:$A$19, ①オッズ入力!$D$2:$D$19, 0)), 0)</f>
        <v>1.0697612695519792E-2</v>
      </c>
      <c r="F448">
        <f>IFERROR(IF(_xlfn.XLOOKUP(C448, ①オッズ入力!$A$2:$A$19, ①オッズ入力!$D$2:$D$19, "")="", 0, _xlfn.XLOOKUP(C448, ①オッズ入力!$A$2:$A$19, ①オッズ入力!$D$2:$D$19, 0)), 0)</f>
        <v>9.8701730395127345E-3</v>
      </c>
      <c r="G448">
        <f t="shared" si="12"/>
        <v>132533.30565130652</v>
      </c>
      <c r="H448">
        <f>IF(G448="", 0, IF(OR(A448=③資金配分!$D$1, A448=③資金配分!$D$2, B448=③資金配分!$D$1, B448=③資金配分!$D$2, C448=③資金配分!$D$1, C448=③資金配分!$D$2), 0, IF(OR(A448=③資金配分!$D$4, A448=③資金配分!$D$5, A448=③資金配分!$D$6, B448=③資金配分!$D$4, B448=③資金配分!$D$5, B448=③資金配分!$D$6, C448=③資金配分!$D$4, C448=③資金配分!$D$5, C448=③資金配分!$D$6), 0, IF(AND(③資金配分!$B$8&gt;0, G448&lt;=③資金配分!$B$8), 1, 0))))</f>
        <v>0</v>
      </c>
      <c r="I448">
        <f t="shared" si="13"/>
        <v>0</v>
      </c>
      <c r="J448">
        <f>IF(I448&gt;0, ROUND((I448 / SUM($I$2:$I$817)) * ③資金配分!$B$7, -2), 0)</f>
        <v>0</v>
      </c>
    </row>
    <row r="449" spans="1:10" x14ac:dyDescent="0.4">
      <c r="A449">
        <v>4</v>
      </c>
      <c r="B449">
        <v>15</v>
      </c>
      <c r="C449">
        <v>17</v>
      </c>
      <c r="D449">
        <f>IFERROR(IF(_xlfn.XLOOKUP(A449, ①オッズ入力!$A$2:$A$19, ①オッズ入力!$D$2:$D$19, "")="", 0, _xlfn.XLOOKUP(A449, ①オッズ入力!$A$2:$A$19, ①オッズ入力!$D$2:$D$19, 0)), 0)</f>
        <v>7.1460052806072205E-2</v>
      </c>
      <c r="E449">
        <f>IFERROR(IF(_xlfn.XLOOKUP(B449, ①オッズ入力!$A$2:$A$19, ①オッズ入力!$D$2:$D$19, "")="", 0, _xlfn.XLOOKUP(B449, ①オッズ入力!$A$2:$A$19, ①オッズ入力!$D$2:$D$19, 0)), 0)</f>
        <v>1.0697612695519792E-2</v>
      </c>
      <c r="F449">
        <f>IFERROR(IF(_xlfn.XLOOKUP(C449, ①オッズ入力!$A$2:$A$19, ①オッズ入力!$D$2:$D$19, "")="", 0, _xlfn.XLOOKUP(C449, ①オッズ入力!$A$2:$A$19, ①オッズ入力!$D$2:$D$19, 0)), 0)</f>
        <v>9.1615452315477186E-3</v>
      </c>
      <c r="G449">
        <f t="shared" si="12"/>
        <v>142784.50056356227</v>
      </c>
      <c r="H449">
        <f>IF(G449="", 0, IF(OR(A449=③資金配分!$D$1, A449=③資金配分!$D$2, B449=③資金配分!$D$1, B449=③資金配分!$D$2, C449=③資金配分!$D$1, C449=③資金配分!$D$2), 0, IF(OR(A449=③資金配分!$D$4, A449=③資金配分!$D$5, A449=③資金配分!$D$6, B449=③資金配分!$D$4, B449=③資金配分!$D$5, B449=③資金配分!$D$6, C449=③資金配分!$D$4, C449=③資金配分!$D$5, C449=③資金配分!$D$6), 0, IF(AND(③資金配分!$B$8&gt;0, G449&lt;=③資金配分!$B$8), 1, 0))))</f>
        <v>0</v>
      </c>
      <c r="I449">
        <f t="shared" si="13"/>
        <v>0</v>
      </c>
      <c r="J449">
        <f>IF(I449&gt;0, ROUND((I449 / SUM($I$2:$I$817)) * ③資金配分!$B$7, -2), 0)</f>
        <v>0</v>
      </c>
    </row>
    <row r="450" spans="1:10" x14ac:dyDescent="0.4">
      <c r="A450">
        <v>4</v>
      </c>
      <c r="B450">
        <v>15</v>
      </c>
      <c r="C450">
        <v>18</v>
      </c>
      <c r="D450">
        <f>IFERROR(IF(_xlfn.XLOOKUP(A450, ①オッズ入力!$A$2:$A$19, ①オッズ入力!$D$2:$D$19, "")="", 0, _xlfn.XLOOKUP(A450, ①オッズ入力!$A$2:$A$19, ①オッズ入力!$D$2:$D$19, 0)), 0)</f>
        <v>7.1460052806072205E-2</v>
      </c>
      <c r="E450">
        <f>IFERROR(IF(_xlfn.XLOOKUP(B450, ①オッズ入力!$A$2:$A$19, ①オッズ入力!$D$2:$D$19, "")="", 0, _xlfn.XLOOKUP(B450, ①オッズ入力!$A$2:$A$19, ①オッズ入力!$D$2:$D$19, 0)), 0)</f>
        <v>1.0697612695519792E-2</v>
      </c>
      <c r="F450">
        <f>IFERROR(IF(_xlfn.XLOOKUP(C450, ①オッズ入力!$A$2:$A$19, ①オッズ入力!$D$2:$D$19, "")="", 0, _xlfn.XLOOKUP(C450, ①オッズ入力!$A$2:$A$19, ①オッズ入力!$D$2:$D$19, 0)), 0)</f>
        <v>8.5478532064679671E-3</v>
      </c>
      <c r="G450">
        <f t="shared" si="12"/>
        <v>153035.69547581801</v>
      </c>
      <c r="H450">
        <f>IF(G450="", 0, IF(OR(A450=③資金配分!$D$1, A450=③資金配分!$D$2, B450=③資金配分!$D$1, B450=③資金配分!$D$2, C450=③資金配分!$D$1, C450=③資金配分!$D$2), 0, IF(OR(A450=③資金配分!$D$4, A450=③資金配分!$D$5, A450=③資金配分!$D$6, B450=③資金配分!$D$4, B450=③資金配分!$D$5, B450=③資金配分!$D$6, C450=③資金配分!$D$4, C450=③資金配分!$D$5, C450=③資金配分!$D$6), 0, IF(AND(③資金配分!$B$8&gt;0, G450&lt;=③資金配分!$B$8), 1, 0))))</f>
        <v>0</v>
      </c>
      <c r="I450">
        <f t="shared" si="13"/>
        <v>0</v>
      </c>
      <c r="J450">
        <f>IF(I450&gt;0, ROUND((I450 / SUM($I$2:$I$817)) * ③資金配分!$B$7, -2), 0)</f>
        <v>0</v>
      </c>
    </row>
    <row r="451" spans="1:10" x14ac:dyDescent="0.4">
      <c r="A451">
        <v>4</v>
      </c>
      <c r="B451">
        <v>16</v>
      </c>
      <c r="C451">
        <v>17</v>
      </c>
      <c r="D451">
        <f>IFERROR(IF(_xlfn.XLOOKUP(A451, ①オッズ入力!$A$2:$A$19, ①オッズ入力!$D$2:$D$19, "")="", 0, _xlfn.XLOOKUP(A451, ①オッズ入力!$A$2:$A$19, ①オッズ入力!$D$2:$D$19, 0)), 0)</f>
        <v>7.1460052806072205E-2</v>
      </c>
      <c r="E451">
        <f>IFERROR(IF(_xlfn.XLOOKUP(B451, ①オッズ入力!$A$2:$A$19, ①オッズ入力!$D$2:$D$19, "")="", 0, _xlfn.XLOOKUP(B451, ①オッズ入力!$A$2:$A$19, ①オッズ入力!$D$2:$D$19, 0)), 0)</f>
        <v>9.8701730395127345E-3</v>
      </c>
      <c r="F451">
        <f>IFERROR(IF(_xlfn.XLOOKUP(C451, ①オッズ入力!$A$2:$A$19, ①オッズ入力!$D$2:$D$19, "")="", 0, _xlfn.XLOOKUP(C451, ①オッズ入力!$A$2:$A$19, ①オッズ入力!$D$2:$D$19, 0)), 0)</f>
        <v>9.1615452315477186E-3</v>
      </c>
      <c r="G451">
        <f t="shared" ref="G451:G514" si="14">IF(OR(D451=0, E451=0, F451=0), "", 1/(D451*E451*F451))</f>
        <v>154754.45869463932</v>
      </c>
      <c r="H451">
        <f>IF(G451="", 0, IF(OR(A451=③資金配分!$D$1, A451=③資金配分!$D$2, B451=③資金配分!$D$1, B451=③資金配分!$D$2, C451=③資金配分!$D$1, C451=③資金配分!$D$2), 0, IF(OR(A451=③資金配分!$D$4, A451=③資金配分!$D$5, A451=③資金配分!$D$6, B451=③資金配分!$D$4, B451=③資金配分!$D$5, B451=③資金配分!$D$6, C451=③資金配分!$D$4, C451=③資金配分!$D$5, C451=③資金配分!$D$6), 0, IF(AND(③資金配分!$B$8&gt;0, G451&lt;=③資金配分!$B$8), 1, 0))))</f>
        <v>0</v>
      </c>
      <c r="I451">
        <f t="shared" ref="I451:I514" si="15">IF(H451=1, 1/G451, 0)</f>
        <v>0</v>
      </c>
      <c r="J451">
        <f>IF(I451&gt;0, ROUND((I451 / SUM($I$2:$I$817)) * ③資金配分!$B$7, -2), 0)</f>
        <v>0</v>
      </c>
    </row>
    <row r="452" spans="1:10" x14ac:dyDescent="0.4">
      <c r="A452">
        <v>4</v>
      </c>
      <c r="B452">
        <v>16</v>
      </c>
      <c r="C452">
        <v>18</v>
      </c>
      <c r="D452">
        <f>IFERROR(IF(_xlfn.XLOOKUP(A452, ①オッズ入力!$A$2:$A$19, ①オッズ入力!$D$2:$D$19, "")="", 0, _xlfn.XLOOKUP(A452, ①オッズ入力!$A$2:$A$19, ①オッズ入力!$D$2:$D$19, 0)), 0)</f>
        <v>7.1460052806072205E-2</v>
      </c>
      <c r="E452">
        <f>IFERROR(IF(_xlfn.XLOOKUP(B452, ①オッズ入力!$A$2:$A$19, ①オッズ入力!$D$2:$D$19, "")="", 0, _xlfn.XLOOKUP(B452, ①オッズ入力!$A$2:$A$19, ①オッズ入力!$D$2:$D$19, 0)), 0)</f>
        <v>9.8701730395127345E-3</v>
      </c>
      <c r="F452">
        <f>IFERROR(IF(_xlfn.XLOOKUP(C452, ①オッズ入力!$A$2:$A$19, ①オッズ入力!$D$2:$D$19, "")="", 0, _xlfn.XLOOKUP(C452, ①オッズ入力!$A$2:$A$19, ①オッズ入力!$D$2:$D$19, 0)), 0)</f>
        <v>8.5478532064679671E-3</v>
      </c>
      <c r="G452">
        <f t="shared" si="14"/>
        <v>165865.03521630575</v>
      </c>
      <c r="H452">
        <f>IF(G452="", 0, IF(OR(A452=③資金配分!$D$1, A452=③資金配分!$D$2, B452=③資金配分!$D$1, B452=③資金配分!$D$2, C452=③資金配分!$D$1, C452=③資金配分!$D$2), 0, IF(OR(A452=③資金配分!$D$4, A452=③資金配分!$D$5, A452=③資金配分!$D$6, B452=③資金配分!$D$4, B452=③資金配分!$D$5, B452=③資金配分!$D$6, C452=③資金配分!$D$4, C452=③資金配分!$D$5, C452=③資金配分!$D$6), 0, IF(AND(③資金配分!$B$8&gt;0, G452&lt;=③資金配分!$B$8), 1, 0))))</f>
        <v>0</v>
      </c>
      <c r="I452">
        <f t="shared" si="15"/>
        <v>0</v>
      </c>
      <c r="J452">
        <f>IF(I452&gt;0, ROUND((I452 / SUM($I$2:$I$817)) * ③資金配分!$B$7, -2), 0)</f>
        <v>0</v>
      </c>
    </row>
    <row r="453" spans="1:10" x14ac:dyDescent="0.4">
      <c r="A453">
        <v>4</v>
      </c>
      <c r="B453">
        <v>17</v>
      </c>
      <c r="C453">
        <v>18</v>
      </c>
      <c r="D453">
        <f>IFERROR(IF(_xlfn.XLOOKUP(A453, ①オッズ入力!$A$2:$A$19, ①オッズ入力!$D$2:$D$19, "")="", 0, _xlfn.XLOOKUP(A453, ①オッズ入力!$A$2:$A$19, ①オッズ入力!$D$2:$D$19, 0)), 0)</f>
        <v>7.1460052806072205E-2</v>
      </c>
      <c r="E453">
        <f>IFERROR(IF(_xlfn.XLOOKUP(B453, ①オッズ入力!$A$2:$A$19, ①オッズ入力!$D$2:$D$19, "")="", 0, _xlfn.XLOOKUP(B453, ①オッズ入力!$A$2:$A$19, ①オッズ入力!$D$2:$D$19, 0)), 0)</f>
        <v>9.1615452315477186E-3</v>
      </c>
      <c r="F453">
        <f>IFERROR(IF(_xlfn.XLOOKUP(C453, ①オッズ入力!$A$2:$A$19, ①オッズ入力!$D$2:$D$19, "")="", 0, _xlfn.XLOOKUP(C453, ①オッズ入力!$A$2:$A$19, ①オッズ入力!$D$2:$D$19, 0)), 0)</f>
        <v>8.5478532064679671E-3</v>
      </c>
      <c r="G453">
        <f t="shared" si="14"/>
        <v>178694.3749567935</v>
      </c>
      <c r="H453">
        <f>IF(G453="", 0, IF(OR(A453=③資金配分!$D$1, A453=③資金配分!$D$2, B453=③資金配分!$D$1, B453=③資金配分!$D$2, C453=③資金配分!$D$1, C453=③資金配分!$D$2), 0, IF(OR(A453=③資金配分!$D$4, A453=③資金配分!$D$5, A453=③資金配分!$D$6, B453=③資金配分!$D$4, B453=③資金配分!$D$5, B453=③資金配分!$D$6, C453=③資金配分!$D$4, C453=③資金配分!$D$5, C453=③資金配分!$D$6), 0, IF(AND(③資金配分!$B$8&gt;0, G453&lt;=③資金配分!$B$8), 1, 0))))</f>
        <v>0</v>
      </c>
      <c r="I453">
        <f t="shared" si="15"/>
        <v>0</v>
      </c>
      <c r="J453">
        <f>IF(I453&gt;0, ROUND((I453 / SUM($I$2:$I$817)) * ③資金配分!$B$7, -2), 0)</f>
        <v>0</v>
      </c>
    </row>
    <row r="454" spans="1:10" x14ac:dyDescent="0.4">
      <c r="A454">
        <v>5</v>
      </c>
      <c r="B454">
        <v>6</v>
      </c>
      <c r="C454">
        <v>7</v>
      </c>
      <c r="D454">
        <f>IFERROR(IF(_xlfn.XLOOKUP(A454, ①オッズ入力!$A$2:$A$19, ①オッズ入力!$D$2:$D$19, "")="", 0, _xlfn.XLOOKUP(A454, ①オッズ入力!$A$2:$A$19, ①オッズ入力!$D$2:$D$19, 0)), 0)</f>
        <v>4.4662533003795128E-2</v>
      </c>
      <c r="E454">
        <f>IFERROR(IF(_xlfn.XLOOKUP(B454, ①オッズ入力!$A$2:$A$19, ①オッズ入力!$D$2:$D$19, "")="", 0, _xlfn.XLOOKUP(B454, ①オッズ入力!$A$2:$A$19, ①オッズ入力!$D$2:$D$19, 0)), 0)</f>
        <v>3.2481842184578273E-2</v>
      </c>
      <c r="F454">
        <f>IFERROR(IF(_xlfn.XLOOKUP(C454, ①オッズ入力!$A$2:$A$19, ①オッズ入力!$D$2:$D$19, "")="", 0, _xlfn.XLOOKUP(C454, ①オッズ入力!$A$2:$A$19, ①オッズ入力!$D$2:$D$19, 0)), 0)</f>
        <v>2.9775022002530085E-2</v>
      </c>
      <c r="G454">
        <f t="shared" si="14"/>
        <v>23150.688253511707</v>
      </c>
      <c r="H454">
        <f>IF(G454="", 0, IF(OR(A454=③資金配分!$D$1, A454=③資金配分!$D$2, B454=③資金配分!$D$1, B454=③資金配分!$D$2, C454=③資金配分!$D$1, C454=③資金配分!$D$2), 0, IF(OR(A454=③資金配分!$D$4, A454=③資金配分!$D$5, A454=③資金配分!$D$6, B454=③資金配分!$D$4, B454=③資金配分!$D$5, B454=③資金配分!$D$6, C454=③資金配分!$D$4, C454=③資金配分!$D$5, C454=③資金配分!$D$6), 0, IF(AND(③資金配分!$B$8&gt;0, G454&lt;=③資金配分!$B$8), 1, 0))))</f>
        <v>0</v>
      </c>
      <c r="I454">
        <f t="shared" si="15"/>
        <v>0</v>
      </c>
      <c r="J454">
        <f>IF(I454&gt;0, ROUND((I454 / SUM($I$2:$I$817)) * ③資金配分!$B$7, -2), 0)</f>
        <v>0</v>
      </c>
    </row>
    <row r="455" spans="1:10" x14ac:dyDescent="0.4">
      <c r="A455">
        <v>5</v>
      </c>
      <c r="B455">
        <v>6</v>
      </c>
      <c r="C455">
        <v>8</v>
      </c>
      <c r="D455">
        <f>IFERROR(IF(_xlfn.XLOOKUP(A455, ①オッズ入力!$A$2:$A$19, ①オッズ入力!$D$2:$D$19, "")="", 0, _xlfn.XLOOKUP(A455, ①オッズ入力!$A$2:$A$19, ①オッズ入力!$D$2:$D$19, 0)), 0)</f>
        <v>4.4662533003795128E-2</v>
      </c>
      <c r="E455">
        <f>IFERROR(IF(_xlfn.XLOOKUP(B455, ①オッズ入力!$A$2:$A$19, ①オッズ入力!$D$2:$D$19, "")="", 0, _xlfn.XLOOKUP(B455, ①オッズ入力!$A$2:$A$19, ①オッズ入力!$D$2:$D$19, 0)), 0)</f>
        <v>3.2481842184578273E-2</v>
      </c>
      <c r="F455">
        <f>IFERROR(IF(_xlfn.XLOOKUP(C455, ①オッズ入力!$A$2:$A$19, ①オッズ入力!$D$2:$D$19, "")="", 0, _xlfn.XLOOKUP(C455, ①オッズ入力!$A$2:$A$19, ①オッズ入力!$D$2:$D$19, 0)), 0)</f>
        <v>2.3820017602024068E-2</v>
      </c>
      <c r="G455">
        <f t="shared" si="14"/>
        <v>28938.360316889633</v>
      </c>
      <c r="H455">
        <f>IF(G455="", 0, IF(OR(A455=③資金配分!$D$1, A455=③資金配分!$D$2, B455=③資金配分!$D$1, B455=③資金配分!$D$2, C455=③資金配分!$D$1, C455=③資金配分!$D$2), 0, IF(OR(A455=③資金配分!$D$4, A455=③資金配分!$D$5, A455=③資金配分!$D$6, B455=③資金配分!$D$4, B455=③資金配分!$D$5, B455=③資金配分!$D$6, C455=③資金配分!$D$4, C455=③資金配分!$D$5, C455=③資金配分!$D$6), 0, IF(AND(③資金配分!$B$8&gt;0, G455&lt;=③資金配分!$B$8), 1, 0))))</f>
        <v>0</v>
      </c>
      <c r="I455">
        <f t="shared" si="15"/>
        <v>0</v>
      </c>
      <c r="J455">
        <f>IF(I455&gt;0, ROUND((I455 / SUM($I$2:$I$817)) * ③資金配分!$B$7, -2), 0)</f>
        <v>0</v>
      </c>
    </row>
    <row r="456" spans="1:10" x14ac:dyDescent="0.4">
      <c r="A456">
        <v>5</v>
      </c>
      <c r="B456">
        <v>6</v>
      </c>
      <c r="C456">
        <v>9</v>
      </c>
      <c r="D456">
        <f>IFERROR(IF(_xlfn.XLOOKUP(A456, ①オッズ入力!$A$2:$A$19, ①オッズ入力!$D$2:$D$19, "")="", 0, _xlfn.XLOOKUP(A456, ①オッズ入力!$A$2:$A$19, ①オッズ入力!$D$2:$D$19, 0)), 0)</f>
        <v>4.4662533003795128E-2</v>
      </c>
      <c r="E456">
        <f>IFERROR(IF(_xlfn.XLOOKUP(B456, ①オッズ入力!$A$2:$A$19, ①オッズ入力!$D$2:$D$19, "")="", 0, _xlfn.XLOOKUP(B456, ①オッズ入力!$A$2:$A$19, ①オッズ入力!$D$2:$D$19, 0)), 0)</f>
        <v>3.2481842184578273E-2</v>
      </c>
      <c r="F456">
        <f>IFERROR(IF(_xlfn.XLOOKUP(C456, ①オッズ入力!$A$2:$A$19, ①オッズ入力!$D$2:$D$19, "")="", 0, _xlfn.XLOOKUP(C456, ①オッズ入力!$A$2:$A$19, ①オッズ入力!$D$2:$D$19, 0)), 0)</f>
        <v>1.9850014668353389E-2</v>
      </c>
      <c r="G456">
        <f t="shared" si="14"/>
        <v>34726.032380267563</v>
      </c>
      <c r="H456">
        <f>IF(G456="", 0, IF(OR(A456=③資金配分!$D$1, A456=③資金配分!$D$2, B456=③資金配分!$D$1, B456=③資金配分!$D$2, C456=③資金配分!$D$1, C456=③資金配分!$D$2), 0, IF(OR(A456=③資金配分!$D$4, A456=③資金配分!$D$5, A456=③資金配分!$D$6, B456=③資金配分!$D$4, B456=③資金配分!$D$5, B456=③資金配分!$D$6, C456=③資金配分!$D$4, C456=③資金配分!$D$5, C456=③資金配分!$D$6), 0, IF(AND(③資金配分!$B$8&gt;0, G456&lt;=③資金配分!$B$8), 1, 0))))</f>
        <v>0</v>
      </c>
      <c r="I456">
        <f t="shared" si="15"/>
        <v>0</v>
      </c>
      <c r="J456">
        <f>IF(I456&gt;0, ROUND((I456 / SUM($I$2:$I$817)) * ③資金配分!$B$7, -2), 0)</f>
        <v>0</v>
      </c>
    </row>
    <row r="457" spans="1:10" x14ac:dyDescent="0.4">
      <c r="A457">
        <v>5</v>
      </c>
      <c r="B457">
        <v>6</v>
      </c>
      <c r="C457">
        <v>10</v>
      </c>
      <c r="D457">
        <f>IFERROR(IF(_xlfn.XLOOKUP(A457, ①オッズ入力!$A$2:$A$19, ①オッズ入力!$D$2:$D$19, "")="", 0, _xlfn.XLOOKUP(A457, ①オッズ入力!$A$2:$A$19, ①オッズ入力!$D$2:$D$19, 0)), 0)</f>
        <v>4.4662533003795128E-2</v>
      </c>
      <c r="E457">
        <f>IFERROR(IF(_xlfn.XLOOKUP(B457, ①オッズ入力!$A$2:$A$19, ①オッズ入力!$D$2:$D$19, "")="", 0, _xlfn.XLOOKUP(B457, ①オッズ入力!$A$2:$A$19, ①オッズ入力!$D$2:$D$19, 0)), 0)</f>
        <v>3.2481842184578273E-2</v>
      </c>
      <c r="F457">
        <f>IFERROR(IF(_xlfn.XLOOKUP(C457, ①オッズ入力!$A$2:$A$19, ①オッズ入力!$D$2:$D$19, "")="", 0, _xlfn.XLOOKUP(C457, ①オッズ入力!$A$2:$A$19, ①オッズ入力!$D$2:$D$19, 0)), 0)</f>
        <v>1.7865013201518051E-2</v>
      </c>
      <c r="G457">
        <f t="shared" si="14"/>
        <v>38584.480422519518</v>
      </c>
      <c r="H457">
        <f>IF(G457="", 0, IF(OR(A457=③資金配分!$D$1, A457=③資金配分!$D$2, B457=③資金配分!$D$1, B457=③資金配分!$D$2, C457=③資金配分!$D$1, C457=③資金配分!$D$2), 0, IF(OR(A457=③資金配分!$D$4, A457=③資金配分!$D$5, A457=③資金配分!$D$6, B457=③資金配分!$D$4, B457=③資金配分!$D$5, B457=③資金配分!$D$6, C457=③資金配分!$D$4, C457=③資金配分!$D$5, C457=③資金配分!$D$6), 0, IF(AND(③資金配分!$B$8&gt;0, G457&lt;=③資金配分!$B$8), 1, 0))))</f>
        <v>0</v>
      </c>
      <c r="I457">
        <f t="shared" si="15"/>
        <v>0</v>
      </c>
      <c r="J457">
        <f>IF(I457&gt;0, ROUND((I457 / SUM($I$2:$I$817)) * ③資金配分!$B$7, -2), 0)</f>
        <v>0</v>
      </c>
    </row>
    <row r="458" spans="1:10" x14ac:dyDescent="0.4">
      <c r="A458">
        <v>5</v>
      </c>
      <c r="B458">
        <v>6</v>
      </c>
      <c r="C458">
        <v>11</v>
      </c>
      <c r="D458">
        <f>IFERROR(IF(_xlfn.XLOOKUP(A458, ①オッズ入力!$A$2:$A$19, ①オッズ入力!$D$2:$D$19, "")="", 0, _xlfn.XLOOKUP(A458, ①オッズ入力!$A$2:$A$19, ①オッズ入力!$D$2:$D$19, 0)), 0)</f>
        <v>4.4662533003795128E-2</v>
      </c>
      <c r="E458">
        <f>IFERROR(IF(_xlfn.XLOOKUP(B458, ①オッズ入力!$A$2:$A$19, ①オッズ入力!$D$2:$D$19, "")="", 0, _xlfn.XLOOKUP(B458, ①オッズ入力!$A$2:$A$19, ①オッズ入力!$D$2:$D$19, 0)), 0)</f>
        <v>3.2481842184578273E-2</v>
      </c>
      <c r="F458">
        <f>IFERROR(IF(_xlfn.XLOOKUP(C458, ①オッズ入力!$A$2:$A$19, ①オッズ入力!$D$2:$D$19, "")="", 0, _xlfn.XLOOKUP(C458, ①オッズ入力!$A$2:$A$19, ①オッズ入力!$D$2:$D$19, 0)), 0)</f>
        <v>1.6240921092289137E-2</v>
      </c>
      <c r="G458">
        <f t="shared" si="14"/>
        <v>42442.928464771467</v>
      </c>
      <c r="H458">
        <f>IF(G458="", 0, IF(OR(A458=③資金配分!$D$1, A458=③資金配分!$D$2, B458=③資金配分!$D$1, B458=③資金配分!$D$2, C458=③資金配分!$D$1, C458=③資金配分!$D$2), 0, IF(OR(A458=③資金配分!$D$4, A458=③資金配分!$D$5, A458=③資金配分!$D$6, B458=③資金配分!$D$4, B458=③資金配分!$D$5, B458=③資金配分!$D$6, C458=③資金配分!$D$4, C458=③資金配分!$D$5, C458=③資金配分!$D$6), 0, IF(AND(③資金配分!$B$8&gt;0, G458&lt;=③資金配分!$B$8), 1, 0))))</f>
        <v>0</v>
      </c>
      <c r="I458">
        <f t="shared" si="15"/>
        <v>0</v>
      </c>
      <c r="J458">
        <f>IF(I458&gt;0, ROUND((I458 / SUM($I$2:$I$817)) * ③資金配分!$B$7, -2), 0)</f>
        <v>0</v>
      </c>
    </row>
    <row r="459" spans="1:10" x14ac:dyDescent="0.4">
      <c r="A459">
        <v>5</v>
      </c>
      <c r="B459">
        <v>6</v>
      </c>
      <c r="C459">
        <v>12</v>
      </c>
      <c r="D459">
        <f>IFERROR(IF(_xlfn.XLOOKUP(A459, ①オッズ入力!$A$2:$A$19, ①オッズ入力!$D$2:$D$19, "")="", 0, _xlfn.XLOOKUP(A459, ①オッズ入力!$A$2:$A$19, ①オッズ入力!$D$2:$D$19, 0)), 0)</f>
        <v>4.4662533003795128E-2</v>
      </c>
      <c r="E459">
        <f>IFERROR(IF(_xlfn.XLOOKUP(B459, ①オッズ入力!$A$2:$A$19, ①オッズ入力!$D$2:$D$19, "")="", 0, _xlfn.XLOOKUP(B459, ①オッズ入力!$A$2:$A$19, ①オッズ入力!$D$2:$D$19, 0)), 0)</f>
        <v>3.2481842184578273E-2</v>
      </c>
      <c r="F459">
        <f>IFERROR(IF(_xlfn.XLOOKUP(C459, ①オッズ入力!$A$2:$A$19, ①オッズ入力!$D$2:$D$19, "")="", 0, _xlfn.XLOOKUP(C459, ①オッズ入力!$A$2:$A$19, ①オッズ入力!$D$2:$D$19, 0)), 0)</f>
        <v>1.4887511001265043E-2</v>
      </c>
      <c r="G459">
        <f t="shared" si="14"/>
        <v>46301.376507023415</v>
      </c>
      <c r="H459">
        <f>IF(G459="", 0, IF(OR(A459=③資金配分!$D$1, A459=③資金配分!$D$2, B459=③資金配分!$D$1, B459=③資金配分!$D$2, C459=③資金配分!$D$1, C459=③資金配分!$D$2), 0, IF(OR(A459=③資金配分!$D$4, A459=③資金配分!$D$5, A459=③資金配分!$D$6, B459=③資金配分!$D$4, B459=③資金配分!$D$5, B459=③資金配分!$D$6, C459=③資金配分!$D$4, C459=③資金配分!$D$5, C459=③資金配分!$D$6), 0, IF(AND(③資金配分!$B$8&gt;0, G459&lt;=③資金配分!$B$8), 1, 0))))</f>
        <v>0</v>
      </c>
      <c r="I459">
        <f t="shared" si="15"/>
        <v>0</v>
      </c>
      <c r="J459">
        <f>IF(I459&gt;0, ROUND((I459 / SUM($I$2:$I$817)) * ③資金配分!$B$7, -2), 0)</f>
        <v>0</v>
      </c>
    </row>
    <row r="460" spans="1:10" x14ac:dyDescent="0.4">
      <c r="A460">
        <v>5</v>
      </c>
      <c r="B460">
        <v>6</v>
      </c>
      <c r="C460">
        <v>13</v>
      </c>
      <c r="D460">
        <f>IFERROR(IF(_xlfn.XLOOKUP(A460, ①オッズ入力!$A$2:$A$19, ①オッズ入力!$D$2:$D$19, "")="", 0, _xlfn.XLOOKUP(A460, ①オッズ入力!$A$2:$A$19, ①オッズ入力!$D$2:$D$19, 0)), 0)</f>
        <v>4.4662533003795128E-2</v>
      </c>
      <c r="E460">
        <f>IFERROR(IF(_xlfn.XLOOKUP(B460, ①オッズ入力!$A$2:$A$19, ①オッズ入力!$D$2:$D$19, "")="", 0, _xlfn.XLOOKUP(B460, ①オッズ入力!$A$2:$A$19, ①オッズ入力!$D$2:$D$19, 0)), 0)</f>
        <v>3.2481842184578273E-2</v>
      </c>
      <c r="F460">
        <f>IFERROR(IF(_xlfn.XLOOKUP(C460, ①オッズ入力!$A$2:$A$19, ①オッズ入力!$D$2:$D$19, "")="", 0, _xlfn.XLOOKUP(C460, ①オッズ入力!$A$2:$A$19, ①オッズ入力!$D$2:$D$19, 0)), 0)</f>
        <v>1.2760723715370036E-2</v>
      </c>
      <c r="G460">
        <f t="shared" si="14"/>
        <v>54018.272591527326</v>
      </c>
      <c r="H460">
        <f>IF(G460="", 0, IF(OR(A460=③資金配分!$D$1, A460=③資金配分!$D$2, B460=③資金配分!$D$1, B460=③資金配分!$D$2, C460=③資金配分!$D$1, C460=③資金配分!$D$2), 0, IF(OR(A460=③資金配分!$D$4, A460=③資金配分!$D$5, A460=③資金配分!$D$6, B460=③資金配分!$D$4, B460=③資金配分!$D$5, B460=③資金配分!$D$6, C460=③資金配分!$D$4, C460=③資金配分!$D$5, C460=③資金配分!$D$6), 0, IF(AND(③資金配分!$B$8&gt;0, G460&lt;=③資金配分!$B$8), 1, 0))))</f>
        <v>0</v>
      </c>
      <c r="I460">
        <f t="shared" si="15"/>
        <v>0</v>
      </c>
      <c r="J460">
        <f>IF(I460&gt;0, ROUND((I460 / SUM($I$2:$I$817)) * ③資金配分!$B$7, -2), 0)</f>
        <v>0</v>
      </c>
    </row>
    <row r="461" spans="1:10" x14ac:dyDescent="0.4">
      <c r="A461">
        <v>5</v>
      </c>
      <c r="B461">
        <v>6</v>
      </c>
      <c r="C461">
        <v>14</v>
      </c>
      <c r="D461">
        <f>IFERROR(IF(_xlfn.XLOOKUP(A461, ①オッズ入力!$A$2:$A$19, ①オッズ入力!$D$2:$D$19, "")="", 0, _xlfn.XLOOKUP(A461, ①オッズ入力!$A$2:$A$19, ①オッズ入力!$D$2:$D$19, 0)), 0)</f>
        <v>4.4662533003795128E-2</v>
      </c>
      <c r="E461">
        <f>IFERROR(IF(_xlfn.XLOOKUP(B461, ①オッズ入力!$A$2:$A$19, ①オッズ入力!$D$2:$D$19, "")="", 0, _xlfn.XLOOKUP(B461, ①オッズ入力!$A$2:$A$19, ①オッズ入力!$D$2:$D$19, 0)), 0)</f>
        <v>3.2481842184578273E-2</v>
      </c>
      <c r="F461">
        <f>IFERROR(IF(_xlfn.XLOOKUP(C461, ①オッズ入力!$A$2:$A$19, ①オッズ入力!$D$2:$D$19, "")="", 0, _xlfn.XLOOKUP(C461, ①オッズ入力!$A$2:$A$19, ①オッズ入力!$D$2:$D$19, 0)), 0)</f>
        <v>1.1525814968721322E-2</v>
      </c>
      <c r="G461">
        <f t="shared" si="14"/>
        <v>59805.944654905252</v>
      </c>
      <c r="H461">
        <f>IF(G461="", 0, IF(OR(A461=③資金配分!$D$1, A461=③資金配分!$D$2, B461=③資金配分!$D$1, B461=③資金配分!$D$2, C461=③資金配分!$D$1, C461=③資金配分!$D$2), 0, IF(OR(A461=③資金配分!$D$4, A461=③資金配分!$D$5, A461=③資金配分!$D$6, B461=③資金配分!$D$4, B461=③資金配分!$D$5, B461=③資金配分!$D$6, C461=③資金配分!$D$4, C461=③資金配分!$D$5, C461=③資金配分!$D$6), 0, IF(AND(③資金配分!$B$8&gt;0, G461&lt;=③資金配分!$B$8), 1, 0))))</f>
        <v>0</v>
      </c>
      <c r="I461">
        <f t="shared" si="15"/>
        <v>0</v>
      </c>
      <c r="J461">
        <f>IF(I461&gt;0, ROUND((I461 / SUM($I$2:$I$817)) * ③資金配分!$B$7, -2), 0)</f>
        <v>0</v>
      </c>
    </row>
    <row r="462" spans="1:10" x14ac:dyDescent="0.4">
      <c r="A462">
        <v>5</v>
      </c>
      <c r="B462">
        <v>6</v>
      </c>
      <c r="C462">
        <v>15</v>
      </c>
      <c r="D462">
        <f>IFERROR(IF(_xlfn.XLOOKUP(A462, ①オッズ入力!$A$2:$A$19, ①オッズ入力!$D$2:$D$19, "")="", 0, _xlfn.XLOOKUP(A462, ①オッズ入力!$A$2:$A$19, ①オッズ入力!$D$2:$D$19, 0)), 0)</f>
        <v>4.4662533003795128E-2</v>
      </c>
      <c r="E462">
        <f>IFERROR(IF(_xlfn.XLOOKUP(B462, ①オッズ入力!$A$2:$A$19, ①オッズ入力!$D$2:$D$19, "")="", 0, _xlfn.XLOOKUP(B462, ①オッズ入力!$A$2:$A$19, ①オッズ入力!$D$2:$D$19, 0)), 0)</f>
        <v>3.2481842184578273E-2</v>
      </c>
      <c r="F462">
        <f>IFERROR(IF(_xlfn.XLOOKUP(C462, ①オッズ入力!$A$2:$A$19, ①オッズ入力!$D$2:$D$19, "")="", 0, _xlfn.XLOOKUP(C462, ①オッズ入力!$A$2:$A$19, ①オッズ入力!$D$2:$D$19, 0)), 0)</f>
        <v>1.0697612695519792E-2</v>
      </c>
      <c r="G462">
        <f t="shared" si="14"/>
        <v>64436.08230560759</v>
      </c>
      <c r="H462">
        <f>IF(G462="", 0, IF(OR(A462=③資金配分!$D$1, A462=③資金配分!$D$2, B462=③資金配分!$D$1, B462=③資金配分!$D$2, C462=③資金配分!$D$1, C462=③資金配分!$D$2), 0, IF(OR(A462=③資金配分!$D$4, A462=③資金配分!$D$5, A462=③資金配分!$D$6, B462=③資金配分!$D$4, B462=③資金配分!$D$5, B462=③資金配分!$D$6, C462=③資金配分!$D$4, C462=③資金配分!$D$5, C462=③資金配分!$D$6), 0, IF(AND(③資金配分!$B$8&gt;0, G462&lt;=③資金配分!$B$8), 1, 0))))</f>
        <v>0</v>
      </c>
      <c r="I462">
        <f t="shared" si="15"/>
        <v>0</v>
      </c>
      <c r="J462">
        <f>IF(I462&gt;0, ROUND((I462 / SUM($I$2:$I$817)) * ③資金配分!$B$7, -2), 0)</f>
        <v>0</v>
      </c>
    </row>
    <row r="463" spans="1:10" x14ac:dyDescent="0.4">
      <c r="A463">
        <v>5</v>
      </c>
      <c r="B463">
        <v>6</v>
      </c>
      <c r="C463">
        <v>16</v>
      </c>
      <c r="D463">
        <f>IFERROR(IF(_xlfn.XLOOKUP(A463, ①オッズ入力!$A$2:$A$19, ①オッズ入力!$D$2:$D$19, "")="", 0, _xlfn.XLOOKUP(A463, ①オッズ入力!$A$2:$A$19, ①オッズ入力!$D$2:$D$19, 0)), 0)</f>
        <v>4.4662533003795128E-2</v>
      </c>
      <c r="E463">
        <f>IFERROR(IF(_xlfn.XLOOKUP(B463, ①オッズ入力!$A$2:$A$19, ①オッズ入力!$D$2:$D$19, "")="", 0, _xlfn.XLOOKUP(B463, ①オッズ入力!$A$2:$A$19, ①オッズ入力!$D$2:$D$19, 0)), 0)</f>
        <v>3.2481842184578273E-2</v>
      </c>
      <c r="F463">
        <f>IFERROR(IF(_xlfn.XLOOKUP(C463, ①オッズ入力!$A$2:$A$19, ①オッズ入力!$D$2:$D$19, "")="", 0, _xlfn.XLOOKUP(C463, ①オッズ入力!$A$2:$A$19, ①オッズ入力!$D$2:$D$19, 0)), 0)</f>
        <v>9.8701730395127345E-3</v>
      </c>
      <c r="G463">
        <f t="shared" si="14"/>
        <v>69837.909564760324</v>
      </c>
      <c r="H463">
        <f>IF(G463="", 0, IF(OR(A463=③資金配分!$D$1, A463=③資金配分!$D$2, B463=③資金配分!$D$1, B463=③資金配分!$D$2, C463=③資金配分!$D$1, C463=③資金配分!$D$2), 0, IF(OR(A463=③資金配分!$D$4, A463=③資金配分!$D$5, A463=③資金配分!$D$6, B463=③資金配分!$D$4, B463=③資金配分!$D$5, B463=③資金配分!$D$6, C463=③資金配分!$D$4, C463=③資金配分!$D$5, C463=③資金配分!$D$6), 0, IF(AND(③資金配分!$B$8&gt;0, G463&lt;=③資金配分!$B$8), 1, 0))))</f>
        <v>0</v>
      </c>
      <c r="I463">
        <f t="shared" si="15"/>
        <v>0</v>
      </c>
      <c r="J463">
        <f>IF(I463&gt;0, ROUND((I463 / SUM($I$2:$I$817)) * ③資金配分!$B$7, -2), 0)</f>
        <v>0</v>
      </c>
    </row>
    <row r="464" spans="1:10" x14ac:dyDescent="0.4">
      <c r="A464">
        <v>5</v>
      </c>
      <c r="B464">
        <v>6</v>
      </c>
      <c r="C464">
        <v>17</v>
      </c>
      <c r="D464">
        <f>IFERROR(IF(_xlfn.XLOOKUP(A464, ①オッズ入力!$A$2:$A$19, ①オッズ入力!$D$2:$D$19, "")="", 0, _xlfn.XLOOKUP(A464, ①オッズ入力!$A$2:$A$19, ①オッズ入力!$D$2:$D$19, 0)), 0)</f>
        <v>4.4662533003795128E-2</v>
      </c>
      <c r="E464">
        <f>IFERROR(IF(_xlfn.XLOOKUP(B464, ①オッズ入力!$A$2:$A$19, ①オッズ入力!$D$2:$D$19, "")="", 0, _xlfn.XLOOKUP(B464, ①オッズ入力!$A$2:$A$19, ①オッズ入力!$D$2:$D$19, 0)), 0)</f>
        <v>3.2481842184578273E-2</v>
      </c>
      <c r="F464">
        <f>IFERROR(IF(_xlfn.XLOOKUP(C464, ①オッズ入力!$A$2:$A$19, ①オッズ入力!$D$2:$D$19, "")="", 0, _xlfn.XLOOKUP(C464, ①オッズ入力!$A$2:$A$19, ①オッズ入力!$D$2:$D$19, 0)), 0)</f>
        <v>9.1615452315477186E-3</v>
      </c>
      <c r="G464">
        <f t="shared" si="14"/>
        <v>75239.736823913059</v>
      </c>
      <c r="H464">
        <f>IF(G464="", 0, IF(OR(A464=③資金配分!$D$1, A464=③資金配分!$D$2, B464=③資金配分!$D$1, B464=③資金配分!$D$2, C464=③資金配分!$D$1, C464=③資金配分!$D$2), 0, IF(OR(A464=③資金配分!$D$4, A464=③資金配分!$D$5, A464=③資金配分!$D$6, B464=③資金配分!$D$4, B464=③資金配分!$D$5, B464=③資金配分!$D$6, C464=③資金配分!$D$4, C464=③資金配分!$D$5, C464=③資金配分!$D$6), 0, IF(AND(③資金配分!$B$8&gt;0, G464&lt;=③資金配分!$B$8), 1, 0))))</f>
        <v>0</v>
      </c>
      <c r="I464">
        <f t="shared" si="15"/>
        <v>0</v>
      </c>
      <c r="J464">
        <f>IF(I464&gt;0, ROUND((I464 / SUM($I$2:$I$817)) * ③資金配分!$B$7, -2), 0)</f>
        <v>0</v>
      </c>
    </row>
    <row r="465" spans="1:10" x14ac:dyDescent="0.4">
      <c r="A465">
        <v>5</v>
      </c>
      <c r="B465">
        <v>6</v>
      </c>
      <c r="C465">
        <v>18</v>
      </c>
      <c r="D465">
        <f>IFERROR(IF(_xlfn.XLOOKUP(A465, ①オッズ入力!$A$2:$A$19, ①オッズ入力!$D$2:$D$19, "")="", 0, _xlfn.XLOOKUP(A465, ①オッズ入力!$A$2:$A$19, ①オッズ入力!$D$2:$D$19, 0)), 0)</f>
        <v>4.4662533003795128E-2</v>
      </c>
      <c r="E465">
        <f>IFERROR(IF(_xlfn.XLOOKUP(B465, ①オッズ入力!$A$2:$A$19, ①オッズ入力!$D$2:$D$19, "")="", 0, _xlfn.XLOOKUP(B465, ①オッズ入力!$A$2:$A$19, ①オッズ入力!$D$2:$D$19, 0)), 0)</f>
        <v>3.2481842184578273E-2</v>
      </c>
      <c r="F465">
        <f>IFERROR(IF(_xlfn.XLOOKUP(C465, ①オッズ入力!$A$2:$A$19, ①オッズ入力!$D$2:$D$19, "")="", 0, _xlfn.XLOOKUP(C465, ①オッズ入力!$A$2:$A$19, ①オッズ入力!$D$2:$D$19, 0)), 0)</f>
        <v>8.5478532064679671E-3</v>
      </c>
      <c r="G465">
        <f t="shared" si="14"/>
        <v>80641.564083065779</v>
      </c>
      <c r="H465">
        <f>IF(G465="", 0, IF(OR(A465=③資金配分!$D$1, A465=③資金配分!$D$2, B465=③資金配分!$D$1, B465=③資金配分!$D$2, C465=③資金配分!$D$1, C465=③資金配分!$D$2), 0, IF(OR(A465=③資金配分!$D$4, A465=③資金配分!$D$5, A465=③資金配分!$D$6, B465=③資金配分!$D$4, B465=③資金配分!$D$5, B465=③資金配分!$D$6, C465=③資金配分!$D$4, C465=③資金配分!$D$5, C465=③資金配分!$D$6), 0, IF(AND(③資金配分!$B$8&gt;0, G465&lt;=③資金配分!$B$8), 1, 0))))</f>
        <v>0</v>
      </c>
      <c r="I465">
        <f t="shared" si="15"/>
        <v>0</v>
      </c>
      <c r="J465">
        <f>IF(I465&gt;0, ROUND((I465 / SUM($I$2:$I$817)) * ③資金配分!$B$7, -2), 0)</f>
        <v>0</v>
      </c>
    </row>
    <row r="466" spans="1:10" x14ac:dyDescent="0.4">
      <c r="A466">
        <v>5</v>
      </c>
      <c r="B466">
        <v>7</v>
      </c>
      <c r="C466">
        <v>8</v>
      </c>
      <c r="D466">
        <f>IFERROR(IF(_xlfn.XLOOKUP(A466, ①オッズ入力!$A$2:$A$19, ①オッズ入力!$D$2:$D$19, "")="", 0, _xlfn.XLOOKUP(A466, ①オッズ入力!$A$2:$A$19, ①オッズ入力!$D$2:$D$19, 0)), 0)</f>
        <v>4.4662533003795128E-2</v>
      </c>
      <c r="E466">
        <f>IFERROR(IF(_xlfn.XLOOKUP(B466, ①オッズ入力!$A$2:$A$19, ①オッズ入力!$D$2:$D$19, "")="", 0, _xlfn.XLOOKUP(B466, ①オッズ入力!$A$2:$A$19, ①オッズ入力!$D$2:$D$19, 0)), 0)</f>
        <v>2.9775022002530085E-2</v>
      </c>
      <c r="F466">
        <f>IFERROR(IF(_xlfn.XLOOKUP(C466, ①オッズ入力!$A$2:$A$19, ①オッズ入力!$D$2:$D$19, "")="", 0, _xlfn.XLOOKUP(C466, ①オッズ入力!$A$2:$A$19, ①オッズ入力!$D$2:$D$19, 0)), 0)</f>
        <v>2.3820017602024068E-2</v>
      </c>
      <c r="G466">
        <f t="shared" si="14"/>
        <v>31569.120345697778</v>
      </c>
      <c r="H466">
        <f>IF(G466="", 0, IF(OR(A466=③資金配分!$D$1, A466=③資金配分!$D$2, B466=③資金配分!$D$1, B466=③資金配分!$D$2, C466=③資金配分!$D$1, C466=③資金配分!$D$2), 0, IF(OR(A466=③資金配分!$D$4, A466=③資金配分!$D$5, A466=③資金配分!$D$6, B466=③資金配分!$D$4, B466=③資金配分!$D$5, B466=③資金配分!$D$6, C466=③資金配分!$D$4, C466=③資金配分!$D$5, C466=③資金配分!$D$6), 0, IF(AND(③資金配分!$B$8&gt;0, G466&lt;=③資金配分!$B$8), 1, 0))))</f>
        <v>0</v>
      </c>
      <c r="I466">
        <f t="shared" si="15"/>
        <v>0</v>
      </c>
      <c r="J466">
        <f>IF(I466&gt;0, ROUND((I466 / SUM($I$2:$I$817)) * ③資金配分!$B$7, -2), 0)</f>
        <v>0</v>
      </c>
    </row>
    <row r="467" spans="1:10" x14ac:dyDescent="0.4">
      <c r="A467">
        <v>5</v>
      </c>
      <c r="B467">
        <v>7</v>
      </c>
      <c r="C467">
        <v>9</v>
      </c>
      <c r="D467">
        <f>IFERROR(IF(_xlfn.XLOOKUP(A467, ①オッズ入力!$A$2:$A$19, ①オッズ入力!$D$2:$D$19, "")="", 0, _xlfn.XLOOKUP(A467, ①オッズ入力!$A$2:$A$19, ①オッズ入力!$D$2:$D$19, 0)), 0)</f>
        <v>4.4662533003795128E-2</v>
      </c>
      <c r="E467">
        <f>IFERROR(IF(_xlfn.XLOOKUP(B467, ①オッズ入力!$A$2:$A$19, ①オッズ入力!$D$2:$D$19, "")="", 0, _xlfn.XLOOKUP(B467, ①オッズ入力!$A$2:$A$19, ①オッズ入力!$D$2:$D$19, 0)), 0)</f>
        <v>2.9775022002530085E-2</v>
      </c>
      <c r="F467">
        <f>IFERROR(IF(_xlfn.XLOOKUP(C467, ①オッズ入力!$A$2:$A$19, ①オッズ入力!$D$2:$D$19, "")="", 0, _xlfn.XLOOKUP(C467, ①オッズ入力!$A$2:$A$19, ①オッズ入力!$D$2:$D$19, 0)), 0)</f>
        <v>1.9850014668353389E-2</v>
      </c>
      <c r="G467">
        <f t="shared" si="14"/>
        <v>37882.944414837337</v>
      </c>
      <c r="H467">
        <f>IF(G467="", 0, IF(OR(A467=③資金配分!$D$1, A467=③資金配分!$D$2, B467=③資金配分!$D$1, B467=③資金配分!$D$2, C467=③資金配分!$D$1, C467=③資金配分!$D$2), 0, IF(OR(A467=③資金配分!$D$4, A467=③資金配分!$D$5, A467=③資金配分!$D$6, B467=③資金配分!$D$4, B467=③資金配分!$D$5, B467=③資金配分!$D$6, C467=③資金配分!$D$4, C467=③資金配分!$D$5, C467=③資金配分!$D$6), 0, IF(AND(③資金配分!$B$8&gt;0, G467&lt;=③資金配分!$B$8), 1, 0))))</f>
        <v>0</v>
      </c>
      <c r="I467">
        <f t="shared" si="15"/>
        <v>0</v>
      </c>
      <c r="J467">
        <f>IF(I467&gt;0, ROUND((I467 / SUM($I$2:$I$817)) * ③資金配分!$B$7, -2), 0)</f>
        <v>0</v>
      </c>
    </row>
    <row r="468" spans="1:10" x14ac:dyDescent="0.4">
      <c r="A468">
        <v>5</v>
      </c>
      <c r="B468">
        <v>7</v>
      </c>
      <c r="C468">
        <v>10</v>
      </c>
      <c r="D468">
        <f>IFERROR(IF(_xlfn.XLOOKUP(A468, ①オッズ入力!$A$2:$A$19, ①オッズ入力!$D$2:$D$19, "")="", 0, _xlfn.XLOOKUP(A468, ①オッズ入力!$A$2:$A$19, ①オッズ入力!$D$2:$D$19, 0)), 0)</f>
        <v>4.4662533003795128E-2</v>
      </c>
      <c r="E468">
        <f>IFERROR(IF(_xlfn.XLOOKUP(B468, ①オッズ入力!$A$2:$A$19, ①オッズ入力!$D$2:$D$19, "")="", 0, _xlfn.XLOOKUP(B468, ①オッズ入力!$A$2:$A$19, ①オッズ入力!$D$2:$D$19, 0)), 0)</f>
        <v>2.9775022002530085E-2</v>
      </c>
      <c r="F468">
        <f>IFERROR(IF(_xlfn.XLOOKUP(C468, ①オッズ入力!$A$2:$A$19, ①オッズ入力!$D$2:$D$19, "")="", 0, _xlfn.XLOOKUP(C468, ①オッズ入力!$A$2:$A$19, ①オッズ入力!$D$2:$D$19, 0)), 0)</f>
        <v>1.7865013201518051E-2</v>
      </c>
      <c r="G468">
        <f t="shared" si="14"/>
        <v>42092.160460930376</v>
      </c>
      <c r="H468">
        <f>IF(G468="", 0, IF(OR(A468=③資金配分!$D$1, A468=③資金配分!$D$2, B468=③資金配分!$D$1, B468=③資金配分!$D$2, C468=③資金配分!$D$1, C468=③資金配分!$D$2), 0, IF(OR(A468=③資金配分!$D$4, A468=③資金配分!$D$5, A468=③資金配分!$D$6, B468=③資金配分!$D$4, B468=③資金配分!$D$5, B468=③資金配分!$D$6, C468=③資金配分!$D$4, C468=③資金配分!$D$5, C468=③資金配分!$D$6), 0, IF(AND(③資金配分!$B$8&gt;0, G468&lt;=③資金配分!$B$8), 1, 0))))</f>
        <v>0</v>
      </c>
      <c r="I468">
        <f t="shared" si="15"/>
        <v>0</v>
      </c>
      <c r="J468">
        <f>IF(I468&gt;0, ROUND((I468 / SUM($I$2:$I$817)) * ③資金配分!$B$7, -2), 0)</f>
        <v>0</v>
      </c>
    </row>
    <row r="469" spans="1:10" x14ac:dyDescent="0.4">
      <c r="A469">
        <v>5</v>
      </c>
      <c r="B469">
        <v>7</v>
      </c>
      <c r="C469">
        <v>11</v>
      </c>
      <c r="D469">
        <f>IFERROR(IF(_xlfn.XLOOKUP(A469, ①オッズ入力!$A$2:$A$19, ①オッズ入力!$D$2:$D$19, "")="", 0, _xlfn.XLOOKUP(A469, ①オッズ入力!$A$2:$A$19, ①オッズ入力!$D$2:$D$19, 0)), 0)</f>
        <v>4.4662533003795128E-2</v>
      </c>
      <c r="E469">
        <f>IFERROR(IF(_xlfn.XLOOKUP(B469, ①オッズ入力!$A$2:$A$19, ①オッズ入力!$D$2:$D$19, "")="", 0, _xlfn.XLOOKUP(B469, ①オッズ入力!$A$2:$A$19, ①オッズ入力!$D$2:$D$19, 0)), 0)</f>
        <v>2.9775022002530085E-2</v>
      </c>
      <c r="F469">
        <f>IFERROR(IF(_xlfn.XLOOKUP(C469, ①オッズ入力!$A$2:$A$19, ①オッズ入力!$D$2:$D$19, "")="", 0, _xlfn.XLOOKUP(C469, ①オッズ入力!$A$2:$A$19, ①オッズ入力!$D$2:$D$19, 0)), 0)</f>
        <v>1.6240921092289137E-2</v>
      </c>
      <c r="G469">
        <f t="shared" si="14"/>
        <v>46301.376507023415</v>
      </c>
      <c r="H469">
        <f>IF(G469="", 0, IF(OR(A469=③資金配分!$D$1, A469=③資金配分!$D$2, B469=③資金配分!$D$1, B469=③資金配分!$D$2, C469=③資金配分!$D$1, C469=③資金配分!$D$2), 0, IF(OR(A469=③資金配分!$D$4, A469=③資金配分!$D$5, A469=③資金配分!$D$6, B469=③資金配分!$D$4, B469=③資金配分!$D$5, B469=③資金配分!$D$6, C469=③資金配分!$D$4, C469=③資金配分!$D$5, C469=③資金配分!$D$6), 0, IF(AND(③資金配分!$B$8&gt;0, G469&lt;=③資金配分!$B$8), 1, 0))))</f>
        <v>0</v>
      </c>
      <c r="I469">
        <f t="shared" si="15"/>
        <v>0</v>
      </c>
      <c r="J469">
        <f>IF(I469&gt;0, ROUND((I469 / SUM($I$2:$I$817)) * ③資金配分!$B$7, -2), 0)</f>
        <v>0</v>
      </c>
    </row>
    <row r="470" spans="1:10" x14ac:dyDescent="0.4">
      <c r="A470">
        <v>5</v>
      </c>
      <c r="B470">
        <v>7</v>
      </c>
      <c r="C470">
        <v>12</v>
      </c>
      <c r="D470">
        <f>IFERROR(IF(_xlfn.XLOOKUP(A470, ①オッズ入力!$A$2:$A$19, ①オッズ入力!$D$2:$D$19, "")="", 0, _xlfn.XLOOKUP(A470, ①オッズ入力!$A$2:$A$19, ①オッズ入力!$D$2:$D$19, 0)), 0)</f>
        <v>4.4662533003795128E-2</v>
      </c>
      <c r="E470">
        <f>IFERROR(IF(_xlfn.XLOOKUP(B470, ①オッズ入力!$A$2:$A$19, ①オッズ入力!$D$2:$D$19, "")="", 0, _xlfn.XLOOKUP(B470, ①オッズ入力!$A$2:$A$19, ①オッズ入力!$D$2:$D$19, 0)), 0)</f>
        <v>2.9775022002530085E-2</v>
      </c>
      <c r="F470">
        <f>IFERROR(IF(_xlfn.XLOOKUP(C470, ①オッズ入力!$A$2:$A$19, ①オッズ入力!$D$2:$D$19, "")="", 0, _xlfn.XLOOKUP(C470, ①オッズ入力!$A$2:$A$19, ①オッズ入力!$D$2:$D$19, 0)), 0)</f>
        <v>1.4887511001265043E-2</v>
      </c>
      <c r="G470">
        <f t="shared" si="14"/>
        <v>50510.592553116447</v>
      </c>
      <c r="H470">
        <f>IF(G470="", 0, IF(OR(A470=③資金配分!$D$1, A470=③資金配分!$D$2, B470=③資金配分!$D$1, B470=③資金配分!$D$2, C470=③資金配分!$D$1, C470=③資金配分!$D$2), 0, IF(OR(A470=③資金配分!$D$4, A470=③資金配分!$D$5, A470=③資金配分!$D$6, B470=③資金配分!$D$4, B470=③資金配分!$D$5, B470=③資金配分!$D$6, C470=③資金配分!$D$4, C470=③資金配分!$D$5, C470=③資金配分!$D$6), 0, IF(AND(③資金配分!$B$8&gt;0, G470&lt;=③資金配分!$B$8), 1, 0))))</f>
        <v>0</v>
      </c>
      <c r="I470">
        <f t="shared" si="15"/>
        <v>0</v>
      </c>
      <c r="J470">
        <f>IF(I470&gt;0, ROUND((I470 / SUM($I$2:$I$817)) * ③資金配分!$B$7, -2), 0)</f>
        <v>0</v>
      </c>
    </row>
    <row r="471" spans="1:10" x14ac:dyDescent="0.4">
      <c r="A471">
        <v>5</v>
      </c>
      <c r="B471">
        <v>7</v>
      </c>
      <c r="C471">
        <v>13</v>
      </c>
      <c r="D471">
        <f>IFERROR(IF(_xlfn.XLOOKUP(A471, ①オッズ入力!$A$2:$A$19, ①オッズ入力!$D$2:$D$19, "")="", 0, _xlfn.XLOOKUP(A471, ①オッズ入力!$A$2:$A$19, ①オッズ入力!$D$2:$D$19, 0)), 0)</f>
        <v>4.4662533003795128E-2</v>
      </c>
      <c r="E471">
        <f>IFERROR(IF(_xlfn.XLOOKUP(B471, ①オッズ入力!$A$2:$A$19, ①オッズ入力!$D$2:$D$19, "")="", 0, _xlfn.XLOOKUP(B471, ①オッズ入力!$A$2:$A$19, ①オッズ入力!$D$2:$D$19, 0)), 0)</f>
        <v>2.9775022002530085E-2</v>
      </c>
      <c r="F471">
        <f>IFERROR(IF(_xlfn.XLOOKUP(C471, ①オッズ入力!$A$2:$A$19, ①オッズ入力!$D$2:$D$19, "")="", 0, _xlfn.XLOOKUP(C471, ①オッズ入力!$A$2:$A$19, ①オッズ入力!$D$2:$D$19, 0)), 0)</f>
        <v>1.2760723715370036E-2</v>
      </c>
      <c r="G471">
        <f t="shared" si="14"/>
        <v>58929.024645302532</v>
      </c>
      <c r="H471">
        <f>IF(G471="", 0, IF(OR(A471=③資金配分!$D$1, A471=③資金配分!$D$2, B471=③資金配分!$D$1, B471=③資金配分!$D$2, C471=③資金配分!$D$1, C471=③資金配分!$D$2), 0, IF(OR(A471=③資金配分!$D$4, A471=③資金配分!$D$5, A471=③資金配分!$D$6, B471=③資金配分!$D$4, B471=③資金配分!$D$5, B471=③資金配分!$D$6, C471=③資金配分!$D$4, C471=③資金配分!$D$5, C471=③資金配分!$D$6), 0, IF(AND(③資金配分!$B$8&gt;0, G471&lt;=③資金配分!$B$8), 1, 0))))</f>
        <v>0</v>
      </c>
      <c r="I471">
        <f t="shared" si="15"/>
        <v>0</v>
      </c>
      <c r="J471">
        <f>IF(I471&gt;0, ROUND((I471 / SUM($I$2:$I$817)) * ③資金配分!$B$7, -2), 0)</f>
        <v>0</v>
      </c>
    </row>
    <row r="472" spans="1:10" x14ac:dyDescent="0.4">
      <c r="A472">
        <v>5</v>
      </c>
      <c r="B472">
        <v>7</v>
      </c>
      <c r="C472">
        <v>14</v>
      </c>
      <c r="D472">
        <f>IFERROR(IF(_xlfn.XLOOKUP(A472, ①オッズ入力!$A$2:$A$19, ①オッズ入力!$D$2:$D$19, "")="", 0, _xlfn.XLOOKUP(A472, ①オッズ入力!$A$2:$A$19, ①オッズ入力!$D$2:$D$19, 0)), 0)</f>
        <v>4.4662533003795128E-2</v>
      </c>
      <c r="E472">
        <f>IFERROR(IF(_xlfn.XLOOKUP(B472, ①オッズ入力!$A$2:$A$19, ①オッズ入力!$D$2:$D$19, "")="", 0, _xlfn.XLOOKUP(B472, ①オッズ入力!$A$2:$A$19, ①オッズ入力!$D$2:$D$19, 0)), 0)</f>
        <v>2.9775022002530085E-2</v>
      </c>
      <c r="F472">
        <f>IFERROR(IF(_xlfn.XLOOKUP(C472, ①オッズ入力!$A$2:$A$19, ①オッズ入力!$D$2:$D$19, "")="", 0, _xlfn.XLOOKUP(C472, ①オッズ入力!$A$2:$A$19, ①オッズ入力!$D$2:$D$19, 0)), 0)</f>
        <v>1.1525814968721322E-2</v>
      </c>
      <c r="G472">
        <f t="shared" si="14"/>
        <v>65242.84871444208</v>
      </c>
      <c r="H472">
        <f>IF(G472="", 0, IF(OR(A472=③資金配分!$D$1, A472=③資金配分!$D$2, B472=③資金配分!$D$1, B472=③資金配分!$D$2, C472=③資金配分!$D$1, C472=③資金配分!$D$2), 0, IF(OR(A472=③資金配分!$D$4, A472=③資金配分!$D$5, A472=③資金配分!$D$6, B472=③資金配分!$D$4, B472=③資金配分!$D$5, B472=③資金配分!$D$6, C472=③資金配分!$D$4, C472=③資金配分!$D$5, C472=③資金配分!$D$6), 0, IF(AND(③資金配分!$B$8&gt;0, G472&lt;=③資金配分!$B$8), 1, 0))))</f>
        <v>0</v>
      </c>
      <c r="I472">
        <f t="shared" si="15"/>
        <v>0</v>
      </c>
      <c r="J472">
        <f>IF(I472&gt;0, ROUND((I472 / SUM($I$2:$I$817)) * ③資金配分!$B$7, -2), 0)</f>
        <v>0</v>
      </c>
    </row>
    <row r="473" spans="1:10" x14ac:dyDescent="0.4">
      <c r="A473">
        <v>5</v>
      </c>
      <c r="B473">
        <v>7</v>
      </c>
      <c r="C473">
        <v>15</v>
      </c>
      <c r="D473">
        <f>IFERROR(IF(_xlfn.XLOOKUP(A473, ①オッズ入力!$A$2:$A$19, ①オッズ入力!$D$2:$D$19, "")="", 0, _xlfn.XLOOKUP(A473, ①オッズ入力!$A$2:$A$19, ①オッズ入力!$D$2:$D$19, 0)), 0)</f>
        <v>4.4662533003795128E-2</v>
      </c>
      <c r="E473">
        <f>IFERROR(IF(_xlfn.XLOOKUP(B473, ①オッズ入力!$A$2:$A$19, ①オッズ入力!$D$2:$D$19, "")="", 0, _xlfn.XLOOKUP(B473, ①オッズ入力!$A$2:$A$19, ①オッズ入力!$D$2:$D$19, 0)), 0)</f>
        <v>2.9775022002530085E-2</v>
      </c>
      <c r="F473">
        <f>IFERROR(IF(_xlfn.XLOOKUP(C473, ①オッズ入力!$A$2:$A$19, ①オッズ入力!$D$2:$D$19, "")="", 0, _xlfn.XLOOKUP(C473, ①オッズ入力!$A$2:$A$19, ①オッズ入力!$D$2:$D$19, 0)), 0)</f>
        <v>1.0697612695519792E-2</v>
      </c>
      <c r="G473">
        <f t="shared" si="14"/>
        <v>70293.907969753724</v>
      </c>
      <c r="H473">
        <f>IF(G473="", 0, IF(OR(A473=③資金配分!$D$1, A473=③資金配分!$D$2, B473=③資金配分!$D$1, B473=③資金配分!$D$2, C473=③資金配分!$D$1, C473=③資金配分!$D$2), 0, IF(OR(A473=③資金配分!$D$4, A473=③資金配分!$D$5, A473=③資金配分!$D$6, B473=③資金配分!$D$4, B473=③資金配分!$D$5, B473=③資金配分!$D$6, C473=③資金配分!$D$4, C473=③資金配分!$D$5, C473=③資金配分!$D$6), 0, IF(AND(③資金配分!$B$8&gt;0, G473&lt;=③資金配分!$B$8), 1, 0))))</f>
        <v>0</v>
      </c>
      <c r="I473">
        <f t="shared" si="15"/>
        <v>0</v>
      </c>
      <c r="J473">
        <f>IF(I473&gt;0, ROUND((I473 / SUM($I$2:$I$817)) * ③資金配分!$B$7, -2), 0)</f>
        <v>0</v>
      </c>
    </row>
    <row r="474" spans="1:10" x14ac:dyDescent="0.4">
      <c r="A474">
        <v>5</v>
      </c>
      <c r="B474">
        <v>7</v>
      </c>
      <c r="C474">
        <v>16</v>
      </c>
      <c r="D474">
        <f>IFERROR(IF(_xlfn.XLOOKUP(A474, ①オッズ入力!$A$2:$A$19, ①オッズ入力!$D$2:$D$19, "")="", 0, _xlfn.XLOOKUP(A474, ①オッズ入力!$A$2:$A$19, ①オッズ入力!$D$2:$D$19, 0)), 0)</f>
        <v>4.4662533003795128E-2</v>
      </c>
      <c r="E474">
        <f>IFERROR(IF(_xlfn.XLOOKUP(B474, ①オッズ入力!$A$2:$A$19, ①オッズ入力!$D$2:$D$19, "")="", 0, _xlfn.XLOOKUP(B474, ①オッズ入力!$A$2:$A$19, ①オッズ入力!$D$2:$D$19, 0)), 0)</f>
        <v>2.9775022002530085E-2</v>
      </c>
      <c r="F474">
        <f>IFERROR(IF(_xlfn.XLOOKUP(C474, ①オッズ入力!$A$2:$A$19, ①オッズ入力!$D$2:$D$19, "")="", 0, _xlfn.XLOOKUP(C474, ①オッズ入力!$A$2:$A$19, ①オッズ入力!$D$2:$D$19, 0)), 0)</f>
        <v>9.8701730395127345E-3</v>
      </c>
      <c r="G474">
        <f t="shared" si="14"/>
        <v>76186.81043428398</v>
      </c>
      <c r="H474">
        <f>IF(G474="", 0, IF(OR(A474=③資金配分!$D$1, A474=③資金配分!$D$2, B474=③資金配分!$D$1, B474=③資金配分!$D$2, C474=③資金配分!$D$1, C474=③資金配分!$D$2), 0, IF(OR(A474=③資金配分!$D$4, A474=③資金配分!$D$5, A474=③資金配分!$D$6, B474=③資金配分!$D$4, B474=③資金配分!$D$5, B474=③資金配分!$D$6, C474=③資金配分!$D$4, C474=③資金配分!$D$5, C474=③資金配分!$D$6), 0, IF(AND(③資金配分!$B$8&gt;0, G474&lt;=③資金配分!$B$8), 1, 0))))</f>
        <v>0</v>
      </c>
      <c r="I474">
        <f t="shared" si="15"/>
        <v>0</v>
      </c>
      <c r="J474">
        <f>IF(I474&gt;0, ROUND((I474 / SUM($I$2:$I$817)) * ③資金配分!$B$7, -2), 0)</f>
        <v>0</v>
      </c>
    </row>
    <row r="475" spans="1:10" x14ac:dyDescent="0.4">
      <c r="A475">
        <v>5</v>
      </c>
      <c r="B475">
        <v>7</v>
      </c>
      <c r="C475">
        <v>17</v>
      </c>
      <c r="D475">
        <f>IFERROR(IF(_xlfn.XLOOKUP(A475, ①オッズ入力!$A$2:$A$19, ①オッズ入力!$D$2:$D$19, "")="", 0, _xlfn.XLOOKUP(A475, ①オッズ入力!$A$2:$A$19, ①オッズ入力!$D$2:$D$19, 0)), 0)</f>
        <v>4.4662533003795128E-2</v>
      </c>
      <c r="E475">
        <f>IFERROR(IF(_xlfn.XLOOKUP(B475, ①オッズ入力!$A$2:$A$19, ①オッズ入力!$D$2:$D$19, "")="", 0, _xlfn.XLOOKUP(B475, ①オッズ入力!$A$2:$A$19, ①オッズ入力!$D$2:$D$19, 0)), 0)</f>
        <v>2.9775022002530085E-2</v>
      </c>
      <c r="F475">
        <f>IFERROR(IF(_xlfn.XLOOKUP(C475, ①オッズ入力!$A$2:$A$19, ①オッズ入力!$D$2:$D$19, "")="", 0, _xlfn.XLOOKUP(C475, ①オッズ入力!$A$2:$A$19, ①オッズ入力!$D$2:$D$19, 0)), 0)</f>
        <v>9.1615452315477186E-3</v>
      </c>
      <c r="G475">
        <f t="shared" si="14"/>
        <v>82079.712898814236</v>
      </c>
      <c r="H475">
        <f>IF(G475="", 0, IF(OR(A475=③資金配分!$D$1, A475=③資金配分!$D$2, B475=③資金配分!$D$1, B475=③資金配分!$D$2, C475=③資金配分!$D$1, C475=③資金配分!$D$2), 0, IF(OR(A475=③資金配分!$D$4, A475=③資金配分!$D$5, A475=③資金配分!$D$6, B475=③資金配分!$D$4, B475=③資金配分!$D$5, B475=③資金配分!$D$6, C475=③資金配分!$D$4, C475=③資金配分!$D$5, C475=③資金配分!$D$6), 0, IF(AND(③資金配分!$B$8&gt;0, G475&lt;=③資金配分!$B$8), 1, 0))))</f>
        <v>0</v>
      </c>
      <c r="I475">
        <f t="shared" si="15"/>
        <v>0</v>
      </c>
      <c r="J475">
        <f>IF(I475&gt;0, ROUND((I475 / SUM($I$2:$I$817)) * ③資金配分!$B$7, -2), 0)</f>
        <v>0</v>
      </c>
    </row>
    <row r="476" spans="1:10" x14ac:dyDescent="0.4">
      <c r="A476">
        <v>5</v>
      </c>
      <c r="B476">
        <v>7</v>
      </c>
      <c r="C476">
        <v>18</v>
      </c>
      <c r="D476">
        <f>IFERROR(IF(_xlfn.XLOOKUP(A476, ①オッズ入力!$A$2:$A$19, ①オッズ入力!$D$2:$D$19, "")="", 0, _xlfn.XLOOKUP(A476, ①オッズ入力!$A$2:$A$19, ①オッズ入力!$D$2:$D$19, 0)), 0)</f>
        <v>4.4662533003795128E-2</v>
      </c>
      <c r="E476">
        <f>IFERROR(IF(_xlfn.XLOOKUP(B476, ①オッズ入力!$A$2:$A$19, ①オッズ入力!$D$2:$D$19, "")="", 0, _xlfn.XLOOKUP(B476, ①オッズ入力!$A$2:$A$19, ①オッズ入力!$D$2:$D$19, 0)), 0)</f>
        <v>2.9775022002530085E-2</v>
      </c>
      <c r="F476">
        <f>IFERROR(IF(_xlfn.XLOOKUP(C476, ①オッズ入力!$A$2:$A$19, ①オッズ入力!$D$2:$D$19, "")="", 0, _xlfn.XLOOKUP(C476, ①オッズ入力!$A$2:$A$19, ①オッズ入力!$D$2:$D$19, 0)), 0)</f>
        <v>8.5478532064679671E-3</v>
      </c>
      <c r="G476">
        <f t="shared" si="14"/>
        <v>87972.615363344477</v>
      </c>
      <c r="H476">
        <f>IF(G476="", 0, IF(OR(A476=③資金配分!$D$1, A476=③資金配分!$D$2, B476=③資金配分!$D$1, B476=③資金配分!$D$2, C476=③資金配分!$D$1, C476=③資金配分!$D$2), 0, IF(OR(A476=③資金配分!$D$4, A476=③資金配分!$D$5, A476=③資金配分!$D$6, B476=③資金配分!$D$4, B476=③資金配分!$D$5, B476=③資金配分!$D$6, C476=③資金配分!$D$4, C476=③資金配分!$D$5, C476=③資金配分!$D$6), 0, IF(AND(③資金配分!$B$8&gt;0, G476&lt;=③資金配分!$B$8), 1, 0))))</f>
        <v>0</v>
      </c>
      <c r="I476">
        <f t="shared" si="15"/>
        <v>0</v>
      </c>
      <c r="J476">
        <f>IF(I476&gt;0, ROUND((I476 / SUM($I$2:$I$817)) * ③資金配分!$B$7, -2), 0)</f>
        <v>0</v>
      </c>
    </row>
    <row r="477" spans="1:10" x14ac:dyDescent="0.4">
      <c r="A477">
        <v>5</v>
      </c>
      <c r="B477">
        <v>8</v>
      </c>
      <c r="C477">
        <v>9</v>
      </c>
      <c r="D477">
        <f>IFERROR(IF(_xlfn.XLOOKUP(A477, ①オッズ入力!$A$2:$A$19, ①オッズ入力!$D$2:$D$19, "")="", 0, _xlfn.XLOOKUP(A477, ①オッズ入力!$A$2:$A$19, ①オッズ入力!$D$2:$D$19, 0)), 0)</f>
        <v>4.4662533003795128E-2</v>
      </c>
      <c r="E477">
        <f>IFERROR(IF(_xlfn.XLOOKUP(B477, ①オッズ入力!$A$2:$A$19, ①オッズ入力!$D$2:$D$19, "")="", 0, _xlfn.XLOOKUP(B477, ①オッズ入力!$A$2:$A$19, ①オッズ入力!$D$2:$D$19, 0)), 0)</f>
        <v>2.3820017602024068E-2</v>
      </c>
      <c r="F477">
        <f>IFERROR(IF(_xlfn.XLOOKUP(C477, ①オッズ入力!$A$2:$A$19, ①オッズ入力!$D$2:$D$19, "")="", 0, _xlfn.XLOOKUP(C477, ①オッズ入力!$A$2:$A$19, ①オッズ入力!$D$2:$D$19, 0)), 0)</f>
        <v>1.9850014668353389E-2</v>
      </c>
      <c r="G477">
        <f t="shared" si="14"/>
        <v>47353.68051854668</v>
      </c>
      <c r="H477">
        <f>IF(G477="", 0, IF(OR(A477=③資金配分!$D$1, A477=③資金配分!$D$2, B477=③資金配分!$D$1, B477=③資金配分!$D$2, C477=③資金配分!$D$1, C477=③資金配分!$D$2), 0, IF(OR(A477=③資金配分!$D$4, A477=③資金配分!$D$5, A477=③資金配分!$D$6, B477=③資金配分!$D$4, B477=③資金配分!$D$5, B477=③資金配分!$D$6, C477=③資金配分!$D$4, C477=③資金配分!$D$5, C477=③資金配分!$D$6), 0, IF(AND(③資金配分!$B$8&gt;0, G477&lt;=③資金配分!$B$8), 1, 0))))</f>
        <v>0</v>
      </c>
      <c r="I477">
        <f t="shared" si="15"/>
        <v>0</v>
      </c>
      <c r="J477">
        <f>IF(I477&gt;0, ROUND((I477 / SUM($I$2:$I$817)) * ③資金配分!$B$7, -2), 0)</f>
        <v>0</v>
      </c>
    </row>
    <row r="478" spans="1:10" x14ac:dyDescent="0.4">
      <c r="A478">
        <v>5</v>
      </c>
      <c r="B478">
        <v>8</v>
      </c>
      <c r="C478">
        <v>10</v>
      </c>
      <c r="D478">
        <f>IFERROR(IF(_xlfn.XLOOKUP(A478, ①オッズ入力!$A$2:$A$19, ①オッズ入力!$D$2:$D$19, "")="", 0, _xlfn.XLOOKUP(A478, ①オッズ入力!$A$2:$A$19, ①オッズ入力!$D$2:$D$19, 0)), 0)</f>
        <v>4.4662533003795128E-2</v>
      </c>
      <c r="E478">
        <f>IFERROR(IF(_xlfn.XLOOKUP(B478, ①オッズ入力!$A$2:$A$19, ①オッズ入力!$D$2:$D$19, "")="", 0, _xlfn.XLOOKUP(B478, ①オッズ入力!$A$2:$A$19, ①オッズ入力!$D$2:$D$19, 0)), 0)</f>
        <v>2.3820017602024068E-2</v>
      </c>
      <c r="F478">
        <f>IFERROR(IF(_xlfn.XLOOKUP(C478, ①オッズ入力!$A$2:$A$19, ①オッズ入力!$D$2:$D$19, "")="", 0, _xlfn.XLOOKUP(C478, ①オッズ入力!$A$2:$A$19, ①オッズ入力!$D$2:$D$19, 0)), 0)</f>
        <v>1.7865013201518051E-2</v>
      </c>
      <c r="G478">
        <f t="shared" si="14"/>
        <v>52615.20057616297</v>
      </c>
      <c r="H478">
        <f>IF(G478="", 0, IF(OR(A478=③資金配分!$D$1, A478=③資金配分!$D$2, B478=③資金配分!$D$1, B478=③資金配分!$D$2, C478=③資金配分!$D$1, C478=③資金配分!$D$2), 0, IF(OR(A478=③資金配分!$D$4, A478=③資金配分!$D$5, A478=③資金配分!$D$6, B478=③資金配分!$D$4, B478=③資金配分!$D$5, B478=③資金配分!$D$6, C478=③資金配分!$D$4, C478=③資金配分!$D$5, C478=③資金配分!$D$6), 0, IF(AND(③資金配分!$B$8&gt;0, G478&lt;=③資金配分!$B$8), 1, 0))))</f>
        <v>0</v>
      </c>
      <c r="I478">
        <f t="shared" si="15"/>
        <v>0</v>
      </c>
      <c r="J478">
        <f>IF(I478&gt;0, ROUND((I478 / SUM($I$2:$I$817)) * ③資金配分!$B$7, -2), 0)</f>
        <v>0</v>
      </c>
    </row>
    <row r="479" spans="1:10" x14ac:dyDescent="0.4">
      <c r="A479">
        <v>5</v>
      </c>
      <c r="B479">
        <v>8</v>
      </c>
      <c r="C479">
        <v>11</v>
      </c>
      <c r="D479">
        <f>IFERROR(IF(_xlfn.XLOOKUP(A479, ①オッズ入力!$A$2:$A$19, ①オッズ入力!$D$2:$D$19, "")="", 0, _xlfn.XLOOKUP(A479, ①オッズ入力!$A$2:$A$19, ①オッズ入力!$D$2:$D$19, 0)), 0)</f>
        <v>4.4662533003795128E-2</v>
      </c>
      <c r="E479">
        <f>IFERROR(IF(_xlfn.XLOOKUP(B479, ①オッズ入力!$A$2:$A$19, ①オッズ入力!$D$2:$D$19, "")="", 0, _xlfn.XLOOKUP(B479, ①オッズ入力!$A$2:$A$19, ①オッズ入力!$D$2:$D$19, 0)), 0)</f>
        <v>2.3820017602024068E-2</v>
      </c>
      <c r="F479">
        <f>IFERROR(IF(_xlfn.XLOOKUP(C479, ①オッズ入力!$A$2:$A$19, ①オッズ入力!$D$2:$D$19, "")="", 0, _xlfn.XLOOKUP(C479, ①オッズ入力!$A$2:$A$19, ①オッズ入力!$D$2:$D$19, 0)), 0)</f>
        <v>1.6240921092289137E-2</v>
      </c>
      <c r="G479">
        <f t="shared" si="14"/>
        <v>57876.720633779267</v>
      </c>
      <c r="H479">
        <f>IF(G479="", 0, IF(OR(A479=③資金配分!$D$1, A479=③資金配分!$D$2, B479=③資金配分!$D$1, B479=③資金配分!$D$2, C479=③資金配分!$D$1, C479=③資金配分!$D$2), 0, IF(OR(A479=③資金配分!$D$4, A479=③資金配分!$D$5, A479=③資金配分!$D$6, B479=③資金配分!$D$4, B479=③資金配分!$D$5, B479=③資金配分!$D$6, C479=③資金配分!$D$4, C479=③資金配分!$D$5, C479=③資金配分!$D$6), 0, IF(AND(③資金配分!$B$8&gt;0, G479&lt;=③資金配分!$B$8), 1, 0))))</f>
        <v>0</v>
      </c>
      <c r="I479">
        <f t="shared" si="15"/>
        <v>0</v>
      </c>
      <c r="J479">
        <f>IF(I479&gt;0, ROUND((I479 / SUM($I$2:$I$817)) * ③資金配分!$B$7, -2), 0)</f>
        <v>0</v>
      </c>
    </row>
    <row r="480" spans="1:10" x14ac:dyDescent="0.4">
      <c r="A480">
        <v>5</v>
      </c>
      <c r="B480">
        <v>8</v>
      </c>
      <c r="C480">
        <v>12</v>
      </c>
      <c r="D480">
        <f>IFERROR(IF(_xlfn.XLOOKUP(A480, ①オッズ入力!$A$2:$A$19, ①オッズ入力!$D$2:$D$19, "")="", 0, _xlfn.XLOOKUP(A480, ①オッズ入力!$A$2:$A$19, ①オッズ入力!$D$2:$D$19, 0)), 0)</f>
        <v>4.4662533003795128E-2</v>
      </c>
      <c r="E480">
        <f>IFERROR(IF(_xlfn.XLOOKUP(B480, ①オッズ入力!$A$2:$A$19, ①オッズ入力!$D$2:$D$19, "")="", 0, _xlfn.XLOOKUP(B480, ①オッズ入力!$A$2:$A$19, ①オッズ入力!$D$2:$D$19, 0)), 0)</f>
        <v>2.3820017602024068E-2</v>
      </c>
      <c r="F480">
        <f>IFERROR(IF(_xlfn.XLOOKUP(C480, ①オッズ入力!$A$2:$A$19, ①オッズ入力!$D$2:$D$19, "")="", 0, _xlfn.XLOOKUP(C480, ①オッズ入力!$A$2:$A$19, ①オッズ入力!$D$2:$D$19, 0)), 0)</f>
        <v>1.4887511001265043E-2</v>
      </c>
      <c r="G480">
        <f t="shared" si="14"/>
        <v>63138.240691395571</v>
      </c>
      <c r="H480">
        <f>IF(G480="", 0, IF(OR(A480=③資金配分!$D$1, A480=③資金配分!$D$2, B480=③資金配分!$D$1, B480=③資金配分!$D$2, C480=③資金配分!$D$1, C480=③資金配分!$D$2), 0, IF(OR(A480=③資金配分!$D$4, A480=③資金配分!$D$5, A480=③資金配分!$D$6, B480=③資金配分!$D$4, B480=③資金配分!$D$5, B480=③資金配分!$D$6, C480=③資金配分!$D$4, C480=③資金配分!$D$5, C480=③資金配分!$D$6), 0, IF(AND(③資金配分!$B$8&gt;0, G480&lt;=③資金配分!$B$8), 1, 0))))</f>
        <v>0</v>
      </c>
      <c r="I480">
        <f t="shared" si="15"/>
        <v>0</v>
      </c>
      <c r="J480">
        <f>IF(I480&gt;0, ROUND((I480 / SUM($I$2:$I$817)) * ③資金配分!$B$7, -2), 0)</f>
        <v>0</v>
      </c>
    </row>
    <row r="481" spans="1:10" x14ac:dyDescent="0.4">
      <c r="A481">
        <v>5</v>
      </c>
      <c r="B481">
        <v>8</v>
      </c>
      <c r="C481">
        <v>13</v>
      </c>
      <c r="D481">
        <f>IFERROR(IF(_xlfn.XLOOKUP(A481, ①オッズ入力!$A$2:$A$19, ①オッズ入力!$D$2:$D$19, "")="", 0, _xlfn.XLOOKUP(A481, ①オッズ入力!$A$2:$A$19, ①オッズ入力!$D$2:$D$19, 0)), 0)</f>
        <v>4.4662533003795128E-2</v>
      </c>
      <c r="E481">
        <f>IFERROR(IF(_xlfn.XLOOKUP(B481, ①オッズ入力!$A$2:$A$19, ①オッズ入力!$D$2:$D$19, "")="", 0, _xlfn.XLOOKUP(B481, ①オッズ入力!$A$2:$A$19, ①オッズ入力!$D$2:$D$19, 0)), 0)</f>
        <v>2.3820017602024068E-2</v>
      </c>
      <c r="F481">
        <f>IFERROR(IF(_xlfn.XLOOKUP(C481, ①オッズ入力!$A$2:$A$19, ①オッズ入力!$D$2:$D$19, "")="", 0, _xlfn.XLOOKUP(C481, ①オッズ入力!$A$2:$A$19, ①オッズ入力!$D$2:$D$19, 0)), 0)</f>
        <v>1.2760723715370036E-2</v>
      </c>
      <c r="G481">
        <f t="shared" si="14"/>
        <v>73661.280806628158</v>
      </c>
      <c r="H481">
        <f>IF(G481="", 0, IF(OR(A481=③資金配分!$D$1, A481=③資金配分!$D$2, B481=③資金配分!$D$1, B481=③資金配分!$D$2, C481=③資金配分!$D$1, C481=③資金配分!$D$2), 0, IF(OR(A481=③資金配分!$D$4, A481=③資金配分!$D$5, A481=③資金配分!$D$6, B481=③資金配分!$D$4, B481=③資金配分!$D$5, B481=③資金配分!$D$6, C481=③資金配分!$D$4, C481=③資金配分!$D$5, C481=③資金配分!$D$6), 0, IF(AND(③資金配分!$B$8&gt;0, G481&lt;=③資金配分!$B$8), 1, 0))))</f>
        <v>0</v>
      </c>
      <c r="I481">
        <f t="shared" si="15"/>
        <v>0</v>
      </c>
      <c r="J481">
        <f>IF(I481&gt;0, ROUND((I481 / SUM($I$2:$I$817)) * ③資金配分!$B$7, -2), 0)</f>
        <v>0</v>
      </c>
    </row>
    <row r="482" spans="1:10" x14ac:dyDescent="0.4">
      <c r="A482">
        <v>5</v>
      </c>
      <c r="B482">
        <v>8</v>
      </c>
      <c r="C482">
        <v>14</v>
      </c>
      <c r="D482">
        <f>IFERROR(IF(_xlfn.XLOOKUP(A482, ①オッズ入力!$A$2:$A$19, ①オッズ入力!$D$2:$D$19, "")="", 0, _xlfn.XLOOKUP(A482, ①オッズ入力!$A$2:$A$19, ①オッズ入力!$D$2:$D$19, 0)), 0)</f>
        <v>4.4662533003795128E-2</v>
      </c>
      <c r="E482">
        <f>IFERROR(IF(_xlfn.XLOOKUP(B482, ①オッズ入力!$A$2:$A$19, ①オッズ入力!$D$2:$D$19, "")="", 0, _xlfn.XLOOKUP(B482, ①オッズ入力!$A$2:$A$19, ①オッズ入力!$D$2:$D$19, 0)), 0)</f>
        <v>2.3820017602024068E-2</v>
      </c>
      <c r="F482">
        <f>IFERROR(IF(_xlfn.XLOOKUP(C482, ①オッズ入力!$A$2:$A$19, ①オッズ入力!$D$2:$D$19, "")="", 0, _xlfn.XLOOKUP(C482, ①オッズ入力!$A$2:$A$19, ①オッズ入力!$D$2:$D$19, 0)), 0)</f>
        <v>1.1525814968721322E-2</v>
      </c>
      <c r="G482">
        <f t="shared" si="14"/>
        <v>81553.560893052607</v>
      </c>
      <c r="H482">
        <f>IF(G482="", 0, IF(OR(A482=③資金配分!$D$1, A482=③資金配分!$D$2, B482=③資金配分!$D$1, B482=③資金配分!$D$2, C482=③資金配分!$D$1, C482=③資金配分!$D$2), 0, IF(OR(A482=③資金配分!$D$4, A482=③資金配分!$D$5, A482=③資金配分!$D$6, B482=③資金配分!$D$4, B482=③資金配分!$D$5, B482=③資金配分!$D$6, C482=③資金配分!$D$4, C482=③資金配分!$D$5, C482=③資金配分!$D$6), 0, IF(AND(③資金配分!$B$8&gt;0, G482&lt;=③資金配分!$B$8), 1, 0))))</f>
        <v>0</v>
      </c>
      <c r="I482">
        <f t="shared" si="15"/>
        <v>0</v>
      </c>
      <c r="J482">
        <f>IF(I482&gt;0, ROUND((I482 / SUM($I$2:$I$817)) * ③資金配分!$B$7, -2), 0)</f>
        <v>0</v>
      </c>
    </row>
    <row r="483" spans="1:10" x14ac:dyDescent="0.4">
      <c r="A483">
        <v>5</v>
      </c>
      <c r="B483">
        <v>8</v>
      </c>
      <c r="C483">
        <v>15</v>
      </c>
      <c r="D483">
        <f>IFERROR(IF(_xlfn.XLOOKUP(A483, ①オッズ入力!$A$2:$A$19, ①オッズ入力!$D$2:$D$19, "")="", 0, _xlfn.XLOOKUP(A483, ①オッズ入力!$A$2:$A$19, ①オッズ入力!$D$2:$D$19, 0)), 0)</f>
        <v>4.4662533003795128E-2</v>
      </c>
      <c r="E483">
        <f>IFERROR(IF(_xlfn.XLOOKUP(B483, ①オッズ入力!$A$2:$A$19, ①オッズ入力!$D$2:$D$19, "")="", 0, _xlfn.XLOOKUP(B483, ①オッズ入力!$A$2:$A$19, ①オッズ入力!$D$2:$D$19, 0)), 0)</f>
        <v>2.3820017602024068E-2</v>
      </c>
      <c r="F483">
        <f>IFERROR(IF(_xlfn.XLOOKUP(C483, ①オッズ入力!$A$2:$A$19, ①オッズ入力!$D$2:$D$19, "")="", 0, _xlfn.XLOOKUP(C483, ①オッズ入力!$A$2:$A$19, ①オッズ入力!$D$2:$D$19, 0)), 0)</f>
        <v>1.0697612695519792E-2</v>
      </c>
      <c r="G483">
        <f t="shared" si="14"/>
        <v>87867.384962192169</v>
      </c>
      <c r="H483">
        <f>IF(G483="", 0, IF(OR(A483=③資金配分!$D$1, A483=③資金配分!$D$2, B483=③資金配分!$D$1, B483=③資金配分!$D$2, C483=③資金配分!$D$1, C483=③資金配分!$D$2), 0, IF(OR(A483=③資金配分!$D$4, A483=③資金配分!$D$5, A483=③資金配分!$D$6, B483=③資金配分!$D$4, B483=③資金配分!$D$5, B483=③資金配分!$D$6, C483=③資金配分!$D$4, C483=③資金配分!$D$5, C483=③資金配分!$D$6), 0, IF(AND(③資金配分!$B$8&gt;0, G483&lt;=③資金配分!$B$8), 1, 0))))</f>
        <v>0</v>
      </c>
      <c r="I483">
        <f t="shared" si="15"/>
        <v>0</v>
      </c>
      <c r="J483">
        <f>IF(I483&gt;0, ROUND((I483 / SUM($I$2:$I$817)) * ③資金配分!$B$7, -2), 0)</f>
        <v>0</v>
      </c>
    </row>
    <row r="484" spans="1:10" x14ac:dyDescent="0.4">
      <c r="A484">
        <v>5</v>
      </c>
      <c r="B484">
        <v>8</v>
      </c>
      <c r="C484">
        <v>16</v>
      </c>
      <c r="D484">
        <f>IFERROR(IF(_xlfn.XLOOKUP(A484, ①オッズ入力!$A$2:$A$19, ①オッズ入力!$D$2:$D$19, "")="", 0, _xlfn.XLOOKUP(A484, ①オッズ入力!$A$2:$A$19, ①オッズ入力!$D$2:$D$19, 0)), 0)</f>
        <v>4.4662533003795128E-2</v>
      </c>
      <c r="E484">
        <f>IFERROR(IF(_xlfn.XLOOKUP(B484, ①オッズ入力!$A$2:$A$19, ①オッズ入力!$D$2:$D$19, "")="", 0, _xlfn.XLOOKUP(B484, ①オッズ入力!$A$2:$A$19, ①オッズ入力!$D$2:$D$19, 0)), 0)</f>
        <v>2.3820017602024068E-2</v>
      </c>
      <c r="F484">
        <f>IFERROR(IF(_xlfn.XLOOKUP(C484, ①オッズ入力!$A$2:$A$19, ①オッズ入力!$D$2:$D$19, "")="", 0, _xlfn.XLOOKUP(C484, ①オッズ入力!$A$2:$A$19, ①オッズ入力!$D$2:$D$19, 0)), 0)</f>
        <v>9.8701730395127345E-3</v>
      </c>
      <c r="G484">
        <f t="shared" si="14"/>
        <v>95233.513042854989</v>
      </c>
      <c r="H484">
        <f>IF(G484="", 0, IF(OR(A484=③資金配分!$D$1, A484=③資金配分!$D$2, B484=③資金配分!$D$1, B484=③資金配分!$D$2, C484=③資金配分!$D$1, C484=③資金配分!$D$2), 0, IF(OR(A484=③資金配分!$D$4, A484=③資金配分!$D$5, A484=③資金配分!$D$6, B484=③資金配分!$D$4, B484=③資金配分!$D$5, B484=③資金配分!$D$6, C484=③資金配分!$D$4, C484=③資金配分!$D$5, C484=③資金配分!$D$6), 0, IF(AND(③資金配分!$B$8&gt;0, G484&lt;=③資金配分!$B$8), 1, 0))))</f>
        <v>0</v>
      </c>
      <c r="I484">
        <f t="shared" si="15"/>
        <v>0</v>
      </c>
      <c r="J484">
        <f>IF(I484&gt;0, ROUND((I484 / SUM($I$2:$I$817)) * ③資金配分!$B$7, -2), 0)</f>
        <v>0</v>
      </c>
    </row>
    <row r="485" spans="1:10" x14ac:dyDescent="0.4">
      <c r="A485">
        <v>5</v>
      </c>
      <c r="B485">
        <v>8</v>
      </c>
      <c r="C485">
        <v>17</v>
      </c>
      <c r="D485">
        <f>IFERROR(IF(_xlfn.XLOOKUP(A485, ①オッズ入力!$A$2:$A$19, ①オッズ入力!$D$2:$D$19, "")="", 0, _xlfn.XLOOKUP(A485, ①オッズ入力!$A$2:$A$19, ①オッズ入力!$D$2:$D$19, 0)), 0)</f>
        <v>4.4662533003795128E-2</v>
      </c>
      <c r="E485">
        <f>IFERROR(IF(_xlfn.XLOOKUP(B485, ①オッズ入力!$A$2:$A$19, ①オッズ入力!$D$2:$D$19, "")="", 0, _xlfn.XLOOKUP(B485, ①オッズ入力!$A$2:$A$19, ①オッズ入力!$D$2:$D$19, 0)), 0)</f>
        <v>2.3820017602024068E-2</v>
      </c>
      <c r="F485">
        <f>IFERROR(IF(_xlfn.XLOOKUP(C485, ①オッズ入力!$A$2:$A$19, ①オッズ入力!$D$2:$D$19, "")="", 0, _xlfn.XLOOKUP(C485, ①オッズ入力!$A$2:$A$19, ①オッズ入力!$D$2:$D$19, 0)), 0)</f>
        <v>9.1615452315477186E-3</v>
      </c>
      <c r="G485">
        <f t="shared" si="14"/>
        <v>102599.64112351779</v>
      </c>
      <c r="H485">
        <f>IF(G485="", 0, IF(OR(A485=③資金配分!$D$1, A485=③資金配分!$D$2, B485=③資金配分!$D$1, B485=③資金配分!$D$2, C485=③資金配分!$D$1, C485=③資金配分!$D$2), 0, IF(OR(A485=③資金配分!$D$4, A485=③資金配分!$D$5, A485=③資金配分!$D$6, B485=③資金配分!$D$4, B485=③資金配分!$D$5, B485=③資金配分!$D$6, C485=③資金配分!$D$4, C485=③資金配分!$D$5, C485=③資金配分!$D$6), 0, IF(AND(③資金配分!$B$8&gt;0, G485&lt;=③資金配分!$B$8), 1, 0))))</f>
        <v>0</v>
      </c>
      <c r="I485">
        <f t="shared" si="15"/>
        <v>0</v>
      </c>
      <c r="J485">
        <f>IF(I485&gt;0, ROUND((I485 / SUM($I$2:$I$817)) * ③資金配分!$B$7, -2), 0)</f>
        <v>0</v>
      </c>
    </row>
    <row r="486" spans="1:10" x14ac:dyDescent="0.4">
      <c r="A486">
        <v>5</v>
      </c>
      <c r="B486">
        <v>8</v>
      </c>
      <c r="C486">
        <v>18</v>
      </c>
      <c r="D486">
        <f>IFERROR(IF(_xlfn.XLOOKUP(A486, ①オッズ入力!$A$2:$A$19, ①オッズ入力!$D$2:$D$19, "")="", 0, _xlfn.XLOOKUP(A486, ①オッズ入力!$A$2:$A$19, ①オッズ入力!$D$2:$D$19, 0)), 0)</f>
        <v>4.4662533003795128E-2</v>
      </c>
      <c r="E486">
        <f>IFERROR(IF(_xlfn.XLOOKUP(B486, ①オッズ入力!$A$2:$A$19, ①オッズ入力!$D$2:$D$19, "")="", 0, _xlfn.XLOOKUP(B486, ①オッズ入力!$A$2:$A$19, ①オッズ入力!$D$2:$D$19, 0)), 0)</f>
        <v>2.3820017602024068E-2</v>
      </c>
      <c r="F486">
        <f>IFERROR(IF(_xlfn.XLOOKUP(C486, ①オッズ入力!$A$2:$A$19, ①オッズ入力!$D$2:$D$19, "")="", 0, _xlfn.XLOOKUP(C486, ①オッズ入力!$A$2:$A$19, ①オッズ入力!$D$2:$D$19, 0)), 0)</f>
        <v>8.5478532064679671E-3</v>
      </c>
      <c r="G486">
        <f t="shared" si="14"/>
        <v>109965.76920418061</v>
      </c>
      <c r="H486">
        <f>IF(G486="", 0, IF(OR(A486=③資金配分!$D$1, A486=③資金配分!$D$2, B486=③資金配分!$D$1, B486=③資金配分!$D$2, C486=③資金配分!$D$1, C486=③資金配分!$D$2), 0, IF(OR(A486=③資金配分!$D$4, A486=③資金配分!$D$5, A486=③資金配分!$D$6, B486=③資金配分!$D$4, B486=③資金配分!$D$5, B486=③資金配分!$D$6, C486=③資金配分!$D$4, C486=③資金配分!$D$5, C486=③資金配分!$D$6), 0, IF(AND(③資金配分!$B$8&gt;0, G486&lt;=③資金配分!$B$8), 1, 0))))</f>
        <v>0</v>
      </c>
      <c r="I486">
        <f t="shared" si="15"/>
        <v>0</v>
      </c>
      <c r="J486">
        <f>IF(I486&gt;0, ROUND((I486 / SUM($I$2:$I$817)) * ③資金配分!$B$7, -2), 0)</f>
        <v>0</v>
      </c>
    </row>
    <row r="487" spans="1:10" x14ac:dyDescent="0.4">
      <c r="A487">
        <v>5</v>
      </c>
      <c r="B487">
        <v>9</v>
      </c>
      <c r="C487">
        <v>10</v>
      </c>
      <c r="D487">
        <f>IFERROR(IF(_xlfn.XLOOKUP(A487, ①オッズ入力!$A$2:$A$19, ①オッズ入力!$D$2:$D$19, "")="", 0, _xlfn.XLOOKUP(A487, ①オッズ入力!$A$2:$A$19, ①オッズ入力!$D$2:$D$19, 0)), 0)</f>
        <v>4.4662533003795128E-2</v>
      </c>
      <c r="E487">
        <f>IFERROR(IF(_xlfn.XLOOKUP(B487, ①オッズ入力!$A$2:$A$19, ①オッズ入力!$D$2:$D$19, "")="", 0, _xlfn.XLOOKUP(B487, ①オッズ入力!$A$2:$A$19, ①オッズ入力!$D$2:$D$19, 0)), 0)</f>
        <v>1.9850014668353389E-2</v>
      </c>
      <c r="F487">
        <f>IFERROR(IF(_xlfn.XLOOKUP(C487, ①オッズ入力!$A$2:$A$19, ①オッズ入力!$D$2:$D$19, "")="", 0, _xlfn.XLOOKUP(C487, ①オッズ入力!$A$2:$A$19, ①オッズ入力!$D$2:$D$19, 0)), 0)</f>
        <v>1.7865013201518051E-2</v>
      </c>
      <c r="G487">
        <f t="shared" si="14"/>
        <v>63138.240691395571</v>
      </c>
      <c r="H487">
        <f>IF(G487="", 0, IF(OR(A487=③資金配分!$D$1, A487=③資金配分!$D$2, B487=③資金配分!$D$1, B487=③資金配分!$D$2, C487=③資金配分!$D$1, C487=③資金配分!$D$2), 0, IF(OR(A487=③資金配分!$D$4, A487=③資金配分!$D$5, A487=③資金配分!$D$6, B487=③資金配分!$D$4, B487=③資金配分!$D$5, B487=③資金配分!$D$6, C487=③資金配分!$D$4, C487=③資金配分!$D$5, C487=③資金配分!$D$6), 0, IF(AND(③資金配分!$B$8&gt;0, G487&lt;=③資金配分!$B$8), 1, 0))))</f>
        <v>0</v>
      </c>
      <c r="I487">
        <f t="shared" si="15"/>
        <v>0</v>
      </c>
      <c r="J487">
        <f>IF(I487&gt;0, ROUND((I487 / SUM($I$2:$I$817)) * ③資金配分!$B$7, -2), 0)</f>
        <v>0</v>
      </c>
    </row>
    <row r="488" spans="1:10" x14ac:dyDescent="0.4">
      <c r="A488">
        <v>5</v>
      </c>
      <c r="B488">
        <v>9</v>
      </c>
      <c r="C488">
        <v>11</v>
      </c>
      <c r="D488">
        <f>IFERROR(IF(_xlfn.XLOOKUP(A488, ①オッズ入力!$A$2:$A$19, ①オッズ入力!$D$2:$D$19, "")="", 0, _xlfn.XLOOKUP(A488, ①オッズ入力!$A$2:$A$19, ①オッズ入力!$D$2:$D$19, 0)), 0)</f>
        <v>4.4662533003795128E-2</v>
      </c>
      <c r="E488">
        <f>IFERROR(IF(_xlfn.XLOOKUP(B488, ①オッズ入力!$A$2:$A$19, ①オッズ入力!$D$2:$D$19, "")="", 0, _xlfn.XLOOKUP(B488, ①オッズ入力!$A$2:$A$19, ①オッズ入力!$D$2:$D$19, 0)), 0)</f>
        <v>1.9850014668353389E-2</v>
      </c>
      <c r="F488">
        <f>IFERROR(IF(_xlfn.XLOOKUP(C488, ①オッズ入力!$A$2:$A$19, ①オッズ入力!$D$2:$D$19, "")="", 0, _xlfn.XLOOKUP(C488, ①オッズ入力!$A$2:$A$19, ①オッズ入力!$D$2:$D$19, 0)), 0)</f>
        <v>1.6240921092289137E-2</v>
      </c>
      <c r="G488">
        <f t="shared" si="14"/>
        <v>69452.064760535126</v>
      </c>
      <c r="H488">
        <f>IF(G488="", 0, IF(OR(A488=③資金配分!$D$1, A488=③資金配分!$D$2, B488=③資金配分!$D$1, B488=③資金配分!$D$2, C488=③資金配分!$D$1, C488=③資金配分!$D$2), 0, IF(OR(A488=③資金配分!$D$4, A488=③資金配分!$D$5, A488=③資金配分!$D$6, B488=③資金配分!$D$4, B488=③資金配分!$D$5, B488=③資金配分!$D$6, C488=③資金配分!$D$4, C488=③資金配分!$D$5, C488=③資金配分!$D$6), 0, IF(AND(③資金配分!$B$8&gt;0, G488&lt;=③資金配分!$B$8), 1, 0))))</f>
        <v>0</v>
      </c>
      <c r="I488">
        <f t="shared" si="15"/>
        <v>0</v>
      </c>
      <c r="J488">
        <f>IF(I488&gt;0, ROUND((I488 / SUM($I$2:$I$817)) * ③資金配分!$B$7, -2), 0)</f>
        <v>0</v>
      </c>
    </row>
    <row r="489" spans="1:10" x14ac:dyDescent="0.4">
      <c r="A489">
        <v>5</v>
      </c>
      <c r="B489">
        <v>9</v>
      </c>
      <c r="C489">
        <v>12</v>
      </c>
      <c r="D489">
        <f>IFERROR(IF(_xlfn.XLOOKUP(A489, ①オッズ入力!$A$2:$A$19, ①オッズ入力!$D$2:$D$19, "")="", 0, _xlfn.XLOOKUP(A489, ①オッズ入力!$A$2:$A$19, ①オッズ入力!$D$2:$D$19, 0)), 0)</f>
        <v>4.4662533003795128E-2</v>
      </c>
      <c r="E489">
        <f>IFERROR(IF(_xlfn.XLOOKUP(B489, ①オッズ入力!$A$2:$A$19, ①オッズ入力!$D$2:$D$19, "")="", 0, _xlfn.XLOOKUP(B489, ①オッズ入力!$A$2:$A$19, ①オッズ入力!$D$2:$D$19, 0)), 0)</f>
        <v>1.9850014668353389E-2</v>
      </c>
      <c r="F489">
        <f>IFERROR(IF(_xlfn.XLOOKUP(C489, ①オッズ入力!$A$2:$A$19, ①オッズ入力!$D$2:$D$19, "")="", 0, _xlfn.XLOOKUP(C489, ①オッズ入力!$A$2:$A$19, ①オッズ入力!$D$2:$D$19, 0)), 0)</f>
        <v>1.4887511001265043E-2</v>
      </c>
      <c r="G489">
        <f t="shared" si="14"/>
        <v>75765.888829674674</v>
      </c>
      <c r="H489">
        <f>IF(G489="", 0, IF(OR(A489=③資金配分!$D$1, A489=③資金配分!$D$2, B489=③資金配分!$D$1, B489=③資金配分!$D$2, C489=③資金配分!$D$1, C489=③資金配分!$D$2), 0, IF(OR(A489=③資金配分!$D$4, A489=③資金配分!$D$5, A489=③資金配分!$D$6, B489=③資金配分!$D$4, B489=③資金配分!$D$5, B489=③資金配分!$D$6, C489=③資金配分!$D$4, C489=③資金配分!$D$5, C489=③資金配分!$D$6), 0, IF(AND(③資金配分!$B$8&gt;0, G489&lt;=③資金配分!$B$8), 1, 0))))</f>
        <v>0</v>
      </c>
      <c r="I489">
        <f t="shared" si="15"/>
        <v>0</v>
      </c>
      <c r="J489">
        <f>IF(I489&gt;0, ROUND((I489 / SUM($I$2:$I$817)) * ③資金配分!$B$7, -2), 0)</f>
        <v>0</v>
      </c>
    </row>
    <row r="490" spans="1:10" x14ac:dyDescent="0.4">
      <c r="A490">
        <v>5</v>
      </c>
      <c r="B490">
        <v>9</v>
      </c>
      <c r="C490">
        <v>13</v>
      </c>
      <c r="D490">
        <f>IFERROR(IF(_xlfn.XLOOKUP(A490, ①オッズ入力!$A$2:$A$19, ①オッズ入力!$D$2:$D$19, "")="", 0, _xlfn.XLOOKUP(A490, ①オッズ入力!$A$2:$A$19, ①オッズ入力!$D$2:$D$19, 0)), 0)</f>
        <v>4.4662533003795128E-2</v>
      </c>
      <c r="E490">
        <f>IFERROR(IF(_xlfn.XLOOKUP(B490, ①オッズ入力!$A$2:$A$19, ①オッズ入力!$D$2:$D$19, "")="", 0, _xlfn.XLOOKUP(B490, ①オッズ入力!$A$2:$A$19, ①オッズ入力!$D$2:$D$19, 0)), 0)</f>
        <v>1.9850014668353389E-2</v>
      </c>
      <c r="F490">
        <f>IFERROR(IF(_xlfn.XLOOKUP(C490, ①オッズ入力!$A$2:$A$19, ①オッズ入力!$D$2:$D$19, "")="", 0, _xlfn.XLOOKUP(C490, ①オッズ入力!$A$2:$A$19, ①オッズ入力!$D$2:$D$19, 0)), 0)</f>
        <v>1.2760723715370036E-2</v>
      </c>
      <c r="G490">
        <f t="shared" si="14"/>
        <v>88393.536967953798</v>
      </c>
      <c r="H490">
        <f>IF(G490="", 0, IF(OR(A490=③資金配分!$D$1, A490=③資金配分!$D$2, B490=③資金配分!$D$1, B490=③資金配分!$D$2, C490=③資金配分!$D$1, C490=③資金配分!$D$2), 0, IF(OR(A490=③資金配分!$D$4, A490=③資金配分!$D$5, A490=③資金配分!$D$6, B490=③資金配分!$D$4, B490=③資金配分!$D$5, B490=③資金配分!$D$6, C490=③資金配分!$D$4, C490=③資金配分!$D$5, C490=③資金配分!$D$6), 0, IF(AND(③資金配分!$B$8&gt;0, G490&lt;=③資金配分!$B$8), 1, 0))))</f>
        <v>0</v>
      </c>
      <c r="I490">
        <f t="shared" si="15"/>
        <v>0</v>
      </c>
      <c r="J490">
        <f>IF(I490&gt;0, ROUND((I490 / SUM($I$2:$I$817)) * ③資金配分!$B$7, -2), 0)</f>
        <v>0</v>
      </c>
    </row>
    <row r="491" spans="1:10" x14ac:dyDescent="0.4">
      <c r="A491">
        <v>5</v>
      </c>
      <c r="B491">
        <v>9</v>
      </c>
      <c r="C491">
        <v>14</v>
      </c>
      <c r="D491">
        <f>IFERROR(IF(_xlfn.XLOOKUP(A491, ①オッズ入力!$A$2:$A$19, ①オッズ入力!$D$2:$D$19, "")="", 0, _xlfn.XLOOKUP(A491, ①オッズ入力!$A$2:$A$19, ①オッズ入力!$D$2:$D$19, 0)), 0)</f>
        <v>4.4662533003795128E-2</v>
      </c>
      <c r="E491">
        <f>IFERROR(IF(_xlfn.XLOOKUP(B491, ①オッズ入力!$A$2:$A$19, ①オッズ入力!$D$2:$D$19, "")="", 0, _xlfn.XLOOKUP(B491, ①オッズ入力!$A$2:$A$19, ①オッズ入力!$D$2:$D$19, 0)), 0)</f>
        <v>1.9850014668353389E-2</v>
      </c>
      <c r="F491">
        <f>IFERROR(IF(_xlfn.XLOOKUP(C491, ①オッズ入力!$A$2:$A$19, ①オッズ入力!$D$2:$D$19, "")="", 0, _xlfn.XLOOKUP(C491, ①オッズ入力!$A$2:$A$19, ①オッズ入力!$D$2:$D$19, 0)), 0)</f>
        <v>1.1525814968721322E-2</v>
      </c>
      <c r="G491">
        <f t="shared" si="14"/>
        <v>97864.273071663134</v>
      </c>
      <c r="H491">
        <f>IF(G491="", 0, IF(OR(A491=③資金配分!$D$1, A491=③資金配分!$D$2, B491=③資金配分!$D$1, B491=③資金配分!$D$2, C491=③資金配分!$D$1, C491=③資金配分!$D$2), 0, IF(OR(A491=③資金配分!$D$4, A491=③資金配分!$D$5, A491=③資金配分!$D$6, B491=③資金配分!$D$4, B491=③資金配分!$D$5, B491=③資金配分!$D$6, C491=③資金配分!$D$4, C491=③資金配分!$D$5, C491=③資金配分!$D$6), 0, IF(AND(③資金配分!$B$8&gt;0, G491&lt;=③資金配分!$B$8), 1, 0))))</f>
        <v>0</v>
      </c>
      <c r="I491">
        <f t="shared" si="15"/>
        <v>0</v>
      </c>
      <c r="J491">
        <f>IF(I491&gt;0, ROUND((I491 / SUM($I$2:$I$817)) * ③資金配分!$B$7, -2), 0)</f>
        <v>0</v>
      </c>
    </row>
    <row r="492" spans="1:10" x14ac:dyDescent="0.4">
      <c r="A492">
        <v>5</v>
      </c>
      <c r="B492">
        <v>9</v>
      </c>
      <c r="C492">
        <v>15</v>
      </c>
      <c r="D492">
        <f>IFERROR(IF(_xlfn.XLOOKUP(A492, ①オッズ入力!$A$2:$A$19, ①オッズ入力!$D$2:$D$19, "")="", 0, _xlfn.XLOOKUP(A492, ①オッズ入力!$A$2:$A$19, ①オッズ入力!$D$2:$D$19, 0)), 0)</f>
        <v>4.4662533003795128E-2</v>
      </c>
      <c r="E492">
        <f>IFERROR(IF(_xlfn.XLOOKUP(B492, ①オッズ入力!$A$2:$A$19, ①オッズ入力!$D$2:$D$19, "")="", 0, _xlfn.XLOOKUP(B492, ①オッズ入力!$A$2:$A$19, ①オッズ入力!$D$2:$D$19, 0)), 0)</f>
        <v>1.9850014668353389E-2</v>
      </c>
      <c r="F492">
        <f>IFERROR(IF(_xlfn.XLOOKUP(C492, ①オッズ入力!$A$2:$A$19, ①オッズ入力!$D$2:$D$19, "")="", 0, _xlfn.XLOOKUP(C492, ①オッズ入力!$A$2:$A$19, ①オッズ入力!$D$2:$D$19, 0)), 0)</f>
        <v>1.0697612695519792E-2</v>
      </c>
      <c r="G492">
        <f t="shared" si="14"/>
        <v>105440.86195463059</v>
      </c>
      <c r="H492">
        <f>IF(G492="", 0, IF(OR(A492=③資金配分!$D$1, A492=③資金配分!$D$2, B492=③資金配分!$D$1, B492=③資金配分!$D$2, C492=③資金配分!$D$1, C492=③資金配分!$D$2), 0, IF(OR(A492=③資金配分!$D$4, A492=③資金配分!$D$5, A492=③資金配分!$D$6, B492=③資金配分!$D$4, B492=③資金配分!$D$5, B492=③資金配分!$D$6, C492=③資金配分!$D$4, C492=③資金配分!$D$5, C492=③資金配分!$D$6), 0, IF(AND(③資金配分!$B$8&gt;0, G492&lt;=③資金配分!$B$8), 1, 0))))</f>
        <v>0</v>
      </c>
      <c r="I492">
        <f t="shared" si="15"/>
        <v>0</v>
      </c>
      <c r="J492">
        <f>IF(I492&gt;0, ROUND((I492 / SUM($I$2:$I$817)) * ③資金配分!$B$7, -2), 0)</f>
        <v>0</v>
      </c>
    </row>
    <row r="493" spans="1:10" x14ac:dyDescent="0.4">
      <c r="A493">
        <v>5</v>
      </c>
      <c r="B493">
        <v>9</v>
      </c>
      <c r="C493">
        <v>16</v>
      </c>
      <c r="D493">
        <f>IFERROR(IF(_xlfn.XLOOKUP(A493, ①オッズ入力!$A$2:$A$19, ①オッズ入力!$D$2:$D$19, "")="", 0, _xlfn.XLOOKUP(A493, ①オッズ入力!$A$2:$A$19, ①オッズ入力!$D$2:$D$19, 0)), 0)</f>
        <v>4.4662533003795128E-2</v>
      </c>
      <c r="E493">
        <f>IFERROR(IF(_xlfn.XLOOKUP(B493, ①オッズ入力!$A$2:$A$19, ①オッズ入力!$D$2:$D$19, "")="", 0, _xlfn.XLOOKUP(B493, ①オッズ入力!$A$2:$A$19, ①オッズ入力!$D$2:$D$19, 0)), 0)</f>
        <v>1.9850014668353389E-2</v>
      </c>
      <c r="F493">
        <f>IFERROR(IF(_xlfn.XLOOKUP(C493, ①オッズ入力!$A$2:$A$19, ①オッズ入力!$D$2:$D$19, "")="", 0, _xlfn.XLOOKUP(C493, ①オッズ入力!$A$2:$A$19, ①オッズ入力!$D$2:$D$19, 0)), 0)</f>
        <v>9.8701730395127345E-3</v>
      </c>
      <c r="G493">
        <f t="shared" si="14"/>
        <v>114280.21565142597</v>
      </c>
      <c r="H493">
        <f>IF(G493="", 0, IF(OR(A493=③資金配分!$D$1, A493=③資金配分!$D$2, B493=③資金配分!$D$1, B493=③資金配分!$D$2, C493=③資金配分!$D$1, C493=③資金配分!$D$2), 0, IF(OR(A493=③資金配分!$D$4, A493=③資金配分!$D$5, A493=③資金配分!$D$6, B493=③資金配分!$D$4, B493=③資金配分!$D$5, B493=③資金配分!$D$6, C493=③資金配分!$D$4, C493=③資金配分!$D$5, C493=③資金配分!$D$6), 0, IF(AND(③資金配分!$B$8&gt;0, G493&lt;=③資金配分!$B$8), 1, 0))))</f>
        <v>0</v>
      </c>
      <c r="I493">
        <f t="shared" si="15"/>
        <v>0</v>
      </c>
      <c r="J493">
        <f>IF(I493&gt;0, ROUND((I493 / SUM($I$2:$I$817)) * ③資金配分!$B$7, -2), 0)</f>
        <v>0</v>
      </c>
    </row>
    <row r="494" spans="1:10" x14ac:dyDescent="0.4">
      <c r="A494">
        <v>5</v>
      </c>
      <c r="B494">
        <v>9</v>
      </c>
      <c r="C494">
        <v>17</v>
      </c>
      <c r="D494">
        <f>IFERROR(IF(_xlfn.XLOOKUP(A494, ①オッズ入力!$A$2:$A$19, ①オッズ入力!$D$2:$D$19, "")="", 0, _xlfn.XLOOKUP(A494, ①オッズ入力!$A$2:$A$19, ①オッズ入力!$D$2:$D$19, 0)), 0)</f>
        <v>4.4662533003795128E-2</v>
      </c>
      <c r="E494">
        <f>IFERROR(IF(_xlfn.XLOOKUP(B494, ①オッズ入力!$A$2:$A$19, ①オッズ入力!$D$2:$D$19, "")="", 0, _xlfn.XLOOKUP(B494, ①オッズ入力!$A$2:$A$19, ①オッズ入力!$D$2:$D$19, 0)), 0)</f>
        <v>1.9850014668353389E-2</v>
      </c>
      <c r="F494">
        <f>IFERROR(IF(_xlfn.XLOOKUP(C494, ①オッズ入力!$A$2:$A$19, ①オッズ入力!$D$2:$D$19, "")="", 0, _xlfn.XLOOKUP(C494, ①オッズ入力!$A$2:$A$19, ①オッズ入力!$D$2:$D$19, 0)), 0)</f>
        <v>9.1615452315477186E-3</v>
      </c>
      <c r="G494">
        <f t="shared" si="14"/>
        <v>123119.56934822134</v>
      </c>
      <c r="H494">
        <f>IF(G494="", 0, IF(OR(A494=③資金配分!$D$1, A494=③資金配分!$D$2, B494=③資金配分!$D$1, B494=③資金配分!$D$2, C494=③資金配分!$D$1, C494=③資金配分!$D$2), 0, IF(OR(A494=③資金配分!$D$4, A494=③資金配分!$D$5, A494=③資金配分!$D$6, B494=③資金配分!$D$4, B494=③資金配分!$D$5, B494=③資金配分!$D$6, C494=③資金配分!$D$4, C494=③資金配分!$D$5, C494=③資金配分!$D$6), 0, IF(AND(③資金配分!$B$8&gt;0, G494&lt;=③資金配分!$B$8), 1, 0))))</f>
        <v>0</v>
      </c>
      <c r="I494">
        <f t="shared" si="15"/>
        <v>0</v>
      </c>
      <c r="J494">
        <f>IF(I494&gt;0, ROUND((I494 / SUM($I$2:$I$817)) * ③資金配分!$B$7, -2), 0)</f>
        <v>0</v>
      </c>
    </row>
    <row r="495" spans="1:10" x14ac:dyDescent="0.4">
      <c r="A495">
        <v>5</v>
      </c>
      <c r="B495">
        <v>9</v>
      </c>
      <c r="C495">
        <v>18</v>
      </c>
      <c r="D495">
        <f>IFERROR(IF(_xlfn.XLOOKUP(A495, ①オッズ入力!$A$2:$A$19, ①オッズ入力!$D$2:$D$19, "")="", 0, _xlfn.XLOOKUP(A495, ①オッズ入力!$A$2:$A$19, ①オッズ入力!$D$2:$D$19, 0)), 0)</f>
        <v>4.4662533003795128E-2</v>
      </c>
      <c r="E495">
        <f>IFERROR(IF(_xlfn.XLOOKUP(B495, ①オッズ入力!$A$2:$A$19, ①オッズ入力!$D$2:$D$19, "")="", 0, _xlfn.XLOOKUP(B495, ①オッズ入力!$A$2:$A$19, ①オッズ入力!$D$2:$D$19, 0)), 0)</f>
        <v>1.9850014668353389E-2</v>
      </c>
      <c r="F495">
        <f>IFERROR(IF(_xlfn.XLOOKUP(C495, ①オッズ入力!$A$2:$A$19, ①オッズ入力!$D$2:$D$19, "")="", 0, _xlfn.XLOOKUP(C495, ①オッズ入力!$A$2:$A$19, ①オッズ入力!$D$2:$D$19, 0)), 0)</f>
        <v>8.5478532064679671E-3</v>
      </c>
      <c r="G495">
        <f t="shared" si="14"/>
        <v>131958.92304501674</v>
      </c>
      <c r="H495">
        <f>IF(G495="", 0, IF(OR(A495=③資金配分!$D$1, A495=③資金配分!$D$2, B495=③資金配分!$D$1, B495=③資金配分!$D$2, C495=③資金配分!$D$1, C495=③資金配分!$D$2), 0, IF(OR(A495=③資金配分!$D$4, A495=③資金配分!$D$5, A495=③資金配分!$D$6, B495=③資金配分!$D$4, B495=③資金配分!$D$5, B495=③資金配分!$D$6, C495=③資金配分!$D$4, C495=③資金配分!$D$5, C495=③資金配分!$D$6), 0, IF(AND(③資金配分!$B$8&gt;0, G495&lt;=③資金配分!$B$8), 1, 0))))</f>
        <v>0</v>
      </c>
      <c r="I495">
        <f t="shared" si="15"/>
        <v>0</v>
      </c>
      <c r="J495">
        <f>IF(I495&gt;0, ROUND((I495 / SUM($I$2:$I$817)) * ③資金配分!$B$7, -2), 0)</f>
        <v>0</v>
      </c>
    </row>
    <row r="496" spans="1:10" x14ac:dyDescent="0.4">
      <c r="A496">
        <v>5</v>
      </c>
      <c r="B496">
        <v>10</v>
      </c>
      <c r="C496">
        <v>11</v>
      </c>
      <c r="D496">
        <f>IFERROR(IF(_xlfn.XLOOKUP(A496, ①オッズ入力!$A$2:$A$19, ①オッズ入力!$D$2:$D$19, "")="", 0, _xlfn.XLOOKUP(A496, ①オッズ入力!$A$2:$A$19, ①オッズ入力!$D$2:$D$19, 0)), 0)</f>
        <v>4.4662533003795128E-2</v>
      </c>
      <c r="E496">
        <f>IFERROR(IF(_xlfn.XLOOKUP(B496, ①オッズ入力!$A$2:$A$19, ①オッズ入力!$D$2:$D$19, "")="", 0, _xlfn.XLOOKUP(B496, ①オッズ入力!$A$2:$A$19, ①オッズ入力!$D$2:$D$19, 0)), 0)</f>
        <v>1.7865013201518051E-2</v>
      </c>
      <c r="F496">
        <f>IFERROR(IF(_xlfn.XLOOKUP(C496, ①オッズ入力!$A$2:$A$19, ①オッズ入力!$D$2:$D$19, "")="", 0, _xlfn.XLOOKUP(C496, ①オッズ入力!$A$2:$A$19, ①オッズ入力!$D$2:$D$19, 0)), 0)</f>
        <v>1.6240921092289137E-2</v>
      </c>
      <c r="G496">
        <f t="shared" si="14"/>
        <v>77168.960845039022</v>
      </c>
      <c r="H496">
        <f>IF(G496="", 0, IF(OR(A496=③資金配分!$D$1, A496=③資金配分!$D$2, B496=③資金配分!$D$1, B496=③資金配分!$D$2, C496=③資金配分!$D$1, C496=③資金配分!$D$2), 0, IF(OR(A496=③資金配分!$D$4, A496=③資金配分!$D$5, A496=③資金配分!$D$6, B496=③資金配分!$D$4, B496=③資金配分!$D$5, B496=③資金配分!$D$6, C496=③資金配分!$D$4, C496=③資金配分!$D$5, C496=③資金配分!$D$6), 0, IF(AND(③資金配分!$B$8&gt;0, G496&lt;=③資金配分!$B$8), 1, 0))))</f>
        <v>0</v>
      </c>
      <c r="I496">
        <f t="shared" si="15"/>
        <v>0</v>
      </c>
      <c r="J496">
        <f>IF(I496&gt;0, ROUND((I496 / SUM($I$2:$I$817)) * ③資金配分!$B$7, -2), 0)</f>
        <v>0</v>
      </c>
    </row>
    <row r="497" spans="1:10" x14ac:dyDescent="0.4">
      <c r="A497">
        <v>5</v>
      </c>
      <c r="B497">
        <v>10</v>
      </c>
      <c r="C497">
        <v>12</v>
      </c>
      <c r="D497">
        <f>IFERROR(IF(_xlfn.XLOOKUP(A497, ①オッズ入力!$A$2:$A$19, ①オッズ入力!$D$2:$D$19, "")="", 0, _xlfn.XLOOKUP(A497, ①オッズ入力!$A$2:$A$19, ①オッズ入力!$D$2:$D$19, 0)), 0)</f>
        <v>4.4662533003795128E-2</v>
      </c>
      <c r="E497">
        <f>IFERROR(IF(_xlfn.XLOOKUP(B497, ①オッズ入力!$A$2:$A$19, ①オッズ入力!$D$2:$D$19, "")="", 0, _xlfn.XLOOKUP(B497, ①オッズ入力!$A$2:$A$19, ①オッズ入力!$D$2:$D$19, 0)), 0)</f>
        <v>1.7865013201518051E-2</v>
      </c>
      <c r="F497">
        <f>IFERROR(IF(_xlfn.XLOOKUP(C497, ①オッズ入力!$A$2:$A$19, ①オッズ入力!$D$2:$D$19, "")="", 0, _xlfn.XLOOKUP(C497, ①オッズ入力!$A$2:$A$19, ①オッズ入力!$D$2:$D$19, 0)), 0)</f>
        <v>1.4887511001265043E-2</v>
      </c>
      <c r="G497">
        <f t="shared" si="14"/>
        <v>84184.320921860752</v>
      </c>
      <c r="H497">
        <f>IF(G497="", 0, IF(OR(A497=③資金配分!$D$1, A497=③資金配分!$D$2, B497=③資金配分!$D$1, B497=③資金配分!$D$2, C497=③資金配分!$D$1, C497=③資金配分!$D$2), 0, IF(OR(A497=③資金配分!$D$4, A497=③資金配分!$D$5, A497=③資金配分!$D$6, B497=③資金配分!$D$4, B497=③資金配分!$D$5, B497=③資金配分!$D$6, C497=③資金配分!$D$4, C497=③資金配分!$D$5, C497=③資金配分!$D$6), 0, IF(AND(③資金配分!$B$8&gt;0, G497&lt;=③資金配分!$B$8), 1, 0))))</f>
        <v>0</v>
      </c>
      <c r="I497">
        <f t="shared" si="15"/>
        <v>0</v>
      </c>
      <c r="J497">
        <f>IF(I497&gt;0, ROUND((I497 / SUM($I$2:$I$817)) * ③資金配分!$B$7, -2), 0)</f>
        <v>0</v>
      </c>
    </row>
    <row r="498" spans="1:10" x14ac:dyDescent="0.4">
      <c r="A498">
        <v>5</v>
      </c>
      <c r="B498">
        <v>10</v>
      </c>
      <c r="C498">
        <v>13</v>
      </c>
      <c r="D498">
        <f>IFERROR(IF(_xlfn.XLOOKUP(A498, ①オッズ入力!$A$2:$A$19, ①オッズ入力!$D$2:$D$19, "")="", 0, _xlfn.XLOOKUP(A498, ①オッズ入力!$A$2:$A$19, ①オッズ入力!$D$2:$D$19, 0)), 0)</f>
        <v>4.4662533003795128E-2</v>
      </c>
      <c r="E498">
        <f>IFERROR(IF(_xlfn.XLOOKUP(B498, ①オッズ入力!$A$2:$A$19, ①オッズ入力!$D$2:$D$19, "")="", 0, _xlfn.XLOOKUP(B498, ①オッズ入力!$A$2:$A$19, ①オッズ入力!$D$2:$D$19, 0)), 0)</f>
        <v>1.7865013201518051E-2</v>
      </c>
      <c r="F498">
        <f>IFERROR(IF(_xlfn.XLOOKUP(C498, ①オッズ入力!$A$2:$A$19, ①オッズ入力!$D$2:$D$19, "")="", 0, _xlfn.XLOOKUP(C498, ①オッズ入力!$A$2:$A$19, ①オッズ入力!$D$2:$D$19, 0)), 0)</f>
        <v>1.2760723715370036E-2</v>
      </c>
      <c r="G498">
        <f t="shared" si="14"/>
        <v>98215.04107550421</v>
      </c>
      <c r="H498">
        <f>IF(G498="", 0, IF(OR(A498=③資金配分!$D$1, A498=③資金配分!$D$2, B498=③資金配分!$D$1, B498=③資金配分!$D$2, C498=③資金配分!$D$1, C498=③資金配分!$D$2), 0, IF(OR(A498=③資金配分!$D$4, A498=③資金配分!$D$5, A498=③資金配分!$D$6, B498=③資金配分!$D$4, B498=③資金配分!$D$5, B498=③資金配分!$D$6, C498=③資金配分!$D$4, C498=③資金配分!$D$5, C498=③資金配分!$D$6), 0, IF(AND(③資金配分!$B$8&gt;0, G498&lt;=③資金配分!$B$8), 1, 0))))</f>
        <v>0</v>
      </c>
      <c r="I498">
        <f t="shared" si="15"/>
        <v>0</v>
      </c>
      <c r="J498">
        <f>IF(I498&gt;0, ROUND((I498 / SUM($I$2:$I$817)) * ③資金配分!$B$7, -2), 0)</f>
        <v>0</v>
      </c>
    </row>
    <row r="499" spans="1:10" x14ac:dyDescent="0.4">
      <c r="A499">
        <v>5</v>
      </c>
      <c r="B499">
        <v>10</v>
      </c>
      <c r="C499">
        <v>14</v>
      </c>
      <c r="D499">
        <f>IFERROR(IF(_xlfn.XLOOKUP(A499, ①オッズ入力!$A$2:$A$19, ①オッズ入力!$D$2:$D$19, "")="", 0, _xlfn.XLOOKUP(A499, ①オッズ入力!$A$2:$A$19, ①オッズ入力!$D$2:$D$19, 0)), 0)</f>
        <v>4.4662533003795128E-2</v>
      </c>
      <c r="E499">
        <f>IFERROR(IF(_xlfn.XLOOKUP(B499, ①オッズ入力!$A$2:$A$19, ①オッズ入力!$D$2:$D$19, "")="", 0, _xlfn.XLOOKUP(B499, ①オッズ入力!$A$2:$A$19, ①オッズ入力!$D$2:$D$19, 0)), 0)</f>
        <v>1.7865013201518051E-2</v>
      </c>
      <c r="F499">
        <f>IFERROR(IF(_xlfn.XLOOKUP(C499, ①オッズ入力!$A$2:$A$19, ①オッズ入力!$D$2:$D$19, "")="", 0, _xlfn.XLOOKUP(C499, ①オッズ入力!$A$2:$A$19, ①オッズ入力!$D$2:$D$19, 0)), 0)</f>
        <v>1.1525814968721322E-2</v>
      </c>
      <c r="G499">
        <f t="shared" si="14"/>
        <v>108738.0811907368</v>
      </c>
      <c r="H499">
        <f>IF(G499="", 0, IF(OR(A499=③資金配分!$D$1, A499=③資金配分!$D$2, B499=③資金配分!$D$1, B499=③資金配分!$D$2, C499=③資金配分!$D$1, C499=③資金配分!$D$2), 0, IF(OR(A499=③資金配分!$D$4, A499=③資金配分!$D$5, A499=③資金配分!$D$6, B499=③資金配分!$D$4, B499=③資金配分!$D$5, B499=③資金配分!$D$6, C499=③資金配分!$D$4, C499=③資金配分!$D$5, C499=③資金配分!$D$6), 0, IF(AND(③資金配分!$B$8&gt;0, G499&lt;=③資金配分!$B$8), 1, 0))))</f>
        <v>0</v>
      </c>
      <c r="I499">
        <f t="shared" si="15"/>
        <v>0</v>
      </c>
      <c r="J499">
        <f>IF(I499&gt;0, ROUND((I499 / SUM($I$2:$I$817)) * ③資金配分!$B$7, -2), 0)</f>
        <v>0</v>
      </c>
    </row>
    <row r="500" spans="1:10" x14ac:dyDescent="0.4">
      <c r="A500">
        <v>5</v>
      </c>
      <c r="B500">
        <v>10</v>
      </c>
      <c r="C500">
        <v>15</v>
      </c>
      <c r="D500">
        <f>IFERROR(IF(_xlfn.XLOOKUP(A500, ①オッズ入力!$A$2:$A$19, ①オッズ入力!$D$2:$D$19, "")="", 0, _xlfn.XLOOKUP(A500, ①オッズ入力!$A$2:$A$19, ①オッズ入力!$D$2:$D$19, 0)), 0)</f>
        <v>4.4662533003795128E-2</v>
      </c>
      <c r="E500">
        <f>IFERROR(IF(_xlfn.XLOOKUP(B500, ①オッズ入力!$A$2:$A$19, ①オッズ入力!$D$2:$D$19, "")="", 0, _xlfn.XLOOKUP(B500, ①オッズ入力!$A$2:$A$19, ①オッズ入力!$D$2:$D$19, 0)), 0)</f>
        <v>1.7865013201518051E-2</v>
      </c>
      <c r="F500">
        <f>IFERROR(IF(_xlfn.XLOOKUP(C500, ①オッズ入力!$A$2:$A$19, ①オッズ入力!$D$2:$D$19, "")="", 0, _xlfn.XLOOKUP(C500, ①オッズ入力!$A$2:$A$19, ①オッズ入力!$D$2:$D$19, 0)), 0)</f>
        <v>1.0697612695519792E-2</v>
      </c>
      <c r="G500">
        <f t="shared" si="14"/>
        <v>117156.51328292288</v>
      </c>
      <c r="H500">
        <f>IF(G500="", 0, IF(OR(A500=③資金配分!$D$1, A500=③資金配分!$D$2, B500=③資金配分!$D$1, B500=③資金配分!$D$2, C500=③資金配分!$D$1, C500=③資金配分!$D$2), 0, IF(OR(A500=③資金配分!$D$4, A500=③資金配分!$D$5, A500=③資金配分!$D$6, B500=③資金配分!$D$4, B500=③資金配分!$D$5, B500=③資金配分!$D$6, C500=③資金配分!$D$4, C500=③資金配分!$D$5, C500=③資金配分!$D$6), 0, IF(AND(③資金配分!$B$8&gt;0, G500&lt;=③資金配分!$B$8), 1, 0))))</f>
        <v>0</v>
      </c>
      <c r="I500">
        <f t="shared" si="15"/>
        <v>0</v>
      </c>
      <c r="J500">
        <f>IF(I500&gt;0, ROUND((I500 / SUM($I$2:$I$817)) * ③資金配分!$B$7, -2), 0)</f>
        <v>0</v>
      </c>
    </row>
    <row r="501" spans="1:10" x14ac:dyDescent="0.4">
      <c r="A501">
        <v>5</v>
      </c>
      <c r="B501">
        <v>10</v>
      </c>
      <c r="C501">
        <v>16</v>
      </c>
      <c r="D501">
        <f>IFERROR(IF(_xlfn.XLOOKUP(A501, ①オッズ入力!$A$2:$A$19, ①オッズ入力!$D$2:$D$19, "")="", 0, _xlfn.XLOOKUP(A501, ①オッズ入力!$A$2:$A$19, ①オッズ入力!$D$2:$D$19, 0)), 0)</f>
        <v>4.4662533003795128E-2</v>
      </c>
      <c r="E501">
        <f>IFERROR(IF(_xlfn.XLOOKUP(B501, ①オッズ入力!$A$2:$A$19, ①オッズ入力!$D$2:$D$19, "")="", 0, _xlfn.XLOOKUP(B501, ①オッズ入力!$A$2:$A$19, ①オッズ入力!$D$2:$D$19, 0)), 0)</f>
        <v>1.7865013201518051E-2</v>
      </c>
      <c r="F501">
        <f>IFERROR(IF(_xlfn.XLOOKUP(C501, ①オッズ入力!$A$2:$A$19, ①オッズ入力!$D$2:$D$19, "")="", 0, _xlfn.XLOOKUP(C501, ①オッズ入力!$A$2:$A$19, ①オッズ入力!$D$2:$D$19, 0)), 0)</f>
        <v>9.8701730395127345E-3</v>
      </c>
      <c r="G501">
        <f t="shared" si="14"/>
        <v>126978.01739047331</v>
      </c>
      <c r="H501">
        <f>IF(G501="", 0, IF(OR(A501=③資金配分!$D$1, A501=③資金配分!$D$2, B501=③資金配分!$D$1, B501=③資金配分!$D$2, C501=③資金配分!$D$1, C501=③資金配分!$D$2), 0, IF(OR(A501=③資金配分!$D$4, A501=③資金配分!$D$5, A501=③資金配分!$D$6, B501=③資金配分!$D$4, B501=③資金配分!$D$5, B501=③資金配分!$D$6, C501=③資金配分!$D$4, C501=③資金配分!$D$5, C501=③資金配分!$D$6), 0, IF(AND(③資金配分!$B$8&gt;0, G501&lt;=③資金配分!$B$8), 1, 0))))</f>
        <v>0</v>
      </c>
      <c r="I501">
        <f t="shared" si="15"/>
        <v>0</v>
      </c>
      <c r="J501">
        <f>IF(I501&gt;0, ROUND((I501 / SUM($I$2:$I$817)) * ③資金配分!$B$7, -2), 0)</f>
        <v>0</v>
      </c>
    </row>
    <row r="502" spans="1:10" x14ac:dyDescent="0.4">
      <c r="A502">
        <v>5</v>
      </c>
      <c r="B502">
        <v>10</v>
      </c>
      <c r="C502">
        <v>17</v>
      </c>
      <c r="D502">
        <f>IFERROR(IF(_xlfn.XLOOKUP(A502, ①オッズ入力!$A$2:$A$19, ①オッズ入力!$D$2:$D$19, "")="", 0, _xlfn.XLOOKUP(A502, ①オッズ入力!$A$2:$A$19, ①オッズ入力!$D$2:$D$19, 0)), 0)</f>
        <v>4.4662533003795128E-2</v>
      </c>
      <c r="E502">
        <f>IFERROR(IF(_xlfn.XLOOKUP(B502, ①オッズ入力!$A$2:$A$19, ①オッズ入力!$D$2:$D$19, "")="", 0, _xlfn.XLOOKUP(B502, ①オッズ入力!$A$2:$A$19, ①オッズ入力!$D$2:$D$19, 0)), 0)</f>
        <v>1.7865013201518051E-2</v>
      </c>
      <c r="F502">
        <f>IFERROR(IF(_xlfn.XLOOKUP(C502, ①オッズ入力!$A$2:$A$19, ①オッズ入力!$D$2:$D$19, "")="", 0, _xlfn.XLOOKUP(C502, ①オッズ入力!$A$2:$A$19, ①オッズ入力!$D$2:$D$19, 0)), 0)</f>
        <v>9.1615452315477186E-3</v>
      </c>
      <c r="G502">
        <f t="shared" si="14"/>
        <v>136799.52149802374</v>
      </c>
      <c r="H502">
        <f>IF(G502="", 0, IF(OR(A502=③資金配分!$D$1, A502=③資金配分!$D$2, B502=③資金配分!$D$1, B502=③資金配分!$D$2, C502=③資金配分!$D$1, C502=③資金配分!$D$2), 0, IF(OR(A502=③資金配分!$D$4, A502=③資金配分!$D$5, A502=③資金配分!$D$6, B502=③資金配分!$D$4, B502=③資金配分!$D$5, B502=③資金配分!$D$6, C502=③資金配分!$D$4, C502=③資金配分!$D$5, C502=③資金配分!$D$6), 0, IF(AND(③資金配分!$B$8&gt;0, G502&lt;=③資金配分!$B$8), 1, 0))))</f>
        <v>0</v>
      </c>
      <c r="I502">
        <f t="shared" si="15"/>
        <v>0</v>
      </c>
      <c r="J502">
        <f>IF(I502&gt;0, ROUND((I502 / SUM($I$2:$I$817)) * ③資金配分!$B$7, -2), 0)</f>
        <v>0</v>
      </c>
    </row>
    <row r="503" spans="1:10" x14ac:dyDescent="0.4">
      <c r="A503">
        <v>5</v>
      </c>
      <c r="B503">
        <v>10</v>
      </c>
      <c r="C503">
        <v>18</v>
      </c>
      <c r="D503">
        <f>IFERROR(IF(_xlfn.XLOOKUP(A503, ①オッズ入力!$A$2:$A$19, ①オッズ入力!$D$2:$D$19, "")="", 0, _xlfn.XLOOKUP(A503, ①オッズ入力!$A$2:$A$19, ①オッズ入力!$D$2:$D$19, 0)), 0)</f>
        <v>4.4662533003795128E-2</v>
      </c>
      <c r="E503">
        <f>IFERROR(IF(_xlfn.XLOOKUP(B503, ①オッズ入力!$A$2:$A$19, ①オッズ入力!$D$2:$D$19, "")="", 0, _xlfn.XLOOKUP(B503, ①オッズ入力!$A$2:$A$19, ①オッズ入力!$D$2:$D$19, 0)), 0)</f>
        <v>1.7865013201518051E-2</v>
      </c>
      <c r="F503">
        <f>IFERROR(IF(_xlfn.XLOOKUP(C503, ①オッズ入力!$A$2:$A$19, ①オッズ入力!$D$2:$D$19, "")="", 0, _xlfn.XLOOKUP(C503, ①オッズ入力!$A$2:$A$19, ①オッズ入力!$D$2:$D$19, 0)), 0)</f>
        <v>8.5478532064679671E-3</v>
      </c>
      <c r="G503">
        <f t="shared" si="14"/>
        <v>146621.02560557413</v>
      </c>
      <c r="H503">
        <f>IF(G503="", 0, IF(OR(A503=③資金配分!$D$1, A503=③資金配分!$D$2, B503=③資金配分!$D$1, B503=③資金配分!$D$2, C503=③資金配分!$D$1, C503=③資金配分!$D$2), 0, IF(OR(A503=③資金配分!$D$4, A503=③資金配分!$D$5, A503=③資金配分!$D$6, B503=③資金配分!$D$4, B503=③資金配分!$D$5, B503=③資金配分!$D$6, C503=③資金配分!$D$4, C503=③資金配分!$D$5, C503=③資金配分!$D$6), 0, IF(AND(③資金配分!$B$8&gt;0, G503&lt;=③資金配分!$B$8), 1, 0))))</f>
        <v>0</v>
      </c>
      <c r="I503">
        <f t="shared" si="15"/>
        <v>0</v>
      </c>
      <c r="J503">
        <f>IF(I503&gt;0, ROUND((I503 / SUM($I$2:$I$817)) * ③資金配分!$B$7, -2), 0)</f>
        <v>0</v>
      </c>
    </row>
    <row r="504" spans="1:10" x14ac:dyDescent="0.4">
      <c r="A504">
        <v>5</v>
      </c>
      <c r="B504">
        <v>11</v>
      </c>
      <c r="C504">
        <v>12</v>
      </c>
      <c r="D504">
        <f>IFERROR(IF(_xlfn.XLOOKUP(A504, ①オッズ入力!$A$2:$A$19, ①オッズ入力!$D$2:$D$19, "")="", 0, _xlfn.XLOOKUP(A504, ①オッズ入力!$A$2:$A$19, ①オッズ入力!$D$2:$D$19, 0)), 0)</f>
        <v>4.4662533003795128E-2</v>
      </c>
      <c r="E504">
        <f>IFERROR(IF(_xlfn.XLOOKUP(B504, ①オッズ入力!$A$2:$A$19, ①オッズ入力!$D$2:$D$19, "")="", 0, _xlfn.XLOOKUP(B504, ①オッズ入力!$A$2:$A$19, ①オッズ入力!$D$2:$D$19, 0)), 0)</f>
        <v>1.6240921092289137E-2</v>
      </c>
      <c r="F504">
        <f>IFERROR(IF(_xlfn.XLOOKUP(C504, ①オッズ入力!$A$2:$A$19, ①オッズ入力!$D$2:$D$19, "")="", 0, _xlfn.XLOOKUP(C504, ①オッズ入力!$A$2:$A$19, ①オッズ入力!$D$2:$D$19, 0)), 0)</f>
        <v>1.4887511001265043E-2</v>
      </c>
      <c r="G504">
        <f t="shared" si="14"/>
        <v>92602.75301404683</v>
      </c>
      <c r="H504">
        <f>IF(G504="", 0, IF(OR(A504=③資金配分!$D$1, A504=③資金配分!$D$2, B504=③資金配分!$D$1, B504=③資金配分!$D$2, C504=③資金配分!$D$1, C504=③資金配分!$D$2), 0, IF(OR(A504=③資金配分!$D$4, A504=③資金配分!$D$5, A504=③資金配分!$D$6, B504=③資金配分!$D$4, B504=③資金配分!$D$5, B504=③資金配分!$D$6, C504=③資金配分!$D$4, C504=③資金配分!$D$5, C504=③資金配分!$D$6), 0, IF(AND(③資金配分!$B$8&gt;0, G504&lt;=③資金配分!$B$8), 1, 0))))</f>
        <v>0</v>
      </c>
      <c r="I504">
        <f t="shared" si="15"/>
        <v>0</v>
      </c>
      <c r="J504">
        <f>IF(I504&gt;0, ROUND((I504 / SUM($I$2:$I$817)) * ③資金配分!$B$7, -2), 0)</f>
        <v>0</v>
      </c>
    </row>
    <row r="505" spans="1:10" x14ac:dyDescent="0.4">
      <c r="A505">
        <v>5</v>
      </c>
      <c r="B505">
        <v>11</v>
      </c>
      <c r="C505">
        <v>13</v>
      </c>
      <c r="D505">
        <f>IFERROR(IF(_xlfn.XLOOKUP(A505, ①オッズ入力!$A$2:$A$19, ①オッズ入力!$D$2:$D$19, "")="", 0, _xlfn.XLOOKUP(A505, ①オッズ入力!$A$2:$A$19, ①オッズ入力!$D$2:$D$19, 0)), 0)</f>
        <v>4.4662533003795128E-2</v>
      </c>
      <c r="E505">
        <f>IFERROR(IF(_xlfn.XLOOKUP(B505, ①オッズ入力!$A$2:$A$19, ①オッズ入力!$D$2:$D$19, "")="", 0, _xlfn.XLOOKUP(B505, ①オッズ入力!$A$2:$A$19, ①オッズ入力!$D$2:$D$19, 0)), 0)</f>
        <v>1.6240921092289137E-2</v>
      </c>
      <c r="F505">
        <f>IFERROR(IF(_xlfn.XLOOKUP(C505, ①オッズ入力!$A$2:$A$19, ①オッズ入力!$D$2:$D$19, "")="", 0, _xlfn.XLOOKUP(C505, ①オッズ入力!$A$2:$A$19, ①オッズ入力!$D$2:$D$19, 0)), 0)</f>
        <v>1.2760723715370036E-2</v>
      </c>
      <c r="G505">
        <f t="shared" si="14"/>
        <v>108036.54518305465</v>
      </c>
      <c r="H505">
        <f>IF(G505="", 0, IF(OR(A505=③資金配分!$D$1, A505=③資金配分!$D$2, B505=③資金配分!$D$1, B505=③資金配分!$D$2, C505=③資金配分!$D$1, C505=③資金配分!$D$2), 0, IF(OR(A505=③資金配分!$D$4, A505=③資金配分!$D$5, A505=③資金配分!$D$6, B505=③資金配分!$D$4, B505=③資金配分!$D$5, B505=③資金配分!$D$6, C505=③資金配分!$D$4, C505=③資金配分!$D$5, C505=③資金配分!$D$6), 0, IF(AND(③資金配分!$B$8&gt;0, G505&lt;=③資金配分!$B$8), 1, 0))))</f>
        <v>0</v>
      </c>
      <c r="I505">
        <f t="shared" si="15"/>
        <v>0</v>
      </c>
      <c r="J505">
        <f>IF(I505&gt;0, ROUND((I505 / SUM($I$2:$I$817)) * ③資金配分!$B$7, -2), 0)</f>
        <v>0</v>
      </c>
    </row>
    <row r="506" spans="1:10" x14ac:dyDescent="0.4">
      <c r="A506">
        <v>5</v>
      </c>
      <c r="B506">
        <v>11</v>
      </c>
      <c r="C506">
        <v>14</v>
      </c>
      <c r="D506">
        <f>IFERROR(IF(_xlfn.XLOOKUP(A506, ①オッズ入力!$A$2:$A$19, ①オッズ入力!$D$2:$D$19, "")="", 0, _xlfn.XLOOKUP(A506, ①オッズ入力!$A$2:$A$19, ①オッズ入力!$D$2:$D$19, 0)), 0)</f>
        <v>4.4662533003795128E-2</v>
      </c>
      <c r="E506">
        <f>IFERROR(IF(_xlfn.XLOOKUP(B506, ①オッズ入力!$A$2:$A$19, ①オッズ入力!$D$2:$D$19, "")="", 0, _xlfn.XLOOKUP(B506, ①オッズ入力!$A$2:$A$19, ①オッズ入力!$D$2:$D$19, 0)), 0)</f>
        <v>1.6240921092289137E-2</v>
      </c>
      <c r="F506">
        <f>IFERROR(IF(_xlfn.XLOOKUP(C506, ①オッズ入力!$A$2:$A$19, ①オッズ入力!$D$2:$D$19, "")="", 0, _xlfn.XLOOKUP(C506, ①オッズ入力!$A$2:$A$19, ①オッズ入力!$D$2:$D$19, 0)), 0)</f>
        <v>1.1525814968721322E-2</v>
      </c>
      <c r="G506">
        <f t="shared" si="14"/>
        <v>119611.8893098105</v>
      </c>
      <c r="H506">
        <f>IF(G506="", 0, IF(OR(A506=③資金配分!$D$1, A506=③資金配分!$D$2, B506=③資金配分!$D$1, B506=③資金配分!$D$2, C506=③資金配分!$D$1, C506=③資金配分!$D$2), 0, IF(OR(A506=③資金配分!$D$4, A506=③資金配分!$D$5, A506=③資金配分!$D$6, B506=③資金配分!$D$4, B506=③資金配分!$D$5, B506=③資金配分!$D$6, C506=③資金配分!$D$4, C506=③資金配分!$D$5, C506=③資金配分!$D$6), 0, IF(AND(③資金配分!$B$8&gt;0, G506&lt;=③資金配分!$B$8), 1, 0))))</f>
        <v>0</v>
      </c>
      <c r="I506">
        <f t="shared" si="15"/>
        <v>0</v>
      </c>
      <c r="J506">
        <f>IF(I506&gt;0, ROUND((I506 / SUM($I$2:$I$817)) * ③資金配分!$B$7, -2), 0)</f>
        <v>0</v>
      </c>
    </row>
    <row r="507" spans="1:10" x14ac:dyDescent="0.4">
      <c r="A507">
        <v>5</v>
      </c>
      <c r="B507">
        <v>11</v>
      </c>
      <c r="C507">
        <v>15</v>
      </c>
      <c r="D507">
        <f>IFERROR(IF(_xlfn.XLOOKUP(A507, ①オッズ入力!$A$2:$A$19, ①オッズ入力!$D$2:$D$19, "")="", 0, _xlfn.XLOOKUP(A507, ①オッズ入力!$A$2:$A$19, ①オッズ入力!$D$2:$D$19, 0)), 0)</f>
        <v>4.4662533003795128E-2</v>
      </c>
      <c r="E507">
        <f>IFERROR(IF(_xlfn.XLOOKUP(B507, ①オッズ入力!$A$2:$A$19, ①オッズ入力!$D$2:$D$19, "")="", 0, _xlfn.XLOOKUP(B507, ①オッズ入力!$A$2:$A$19, ①オッズ入力!$D$2:$D$19, 0)), 0)</f>
        <v>1.6240921092289137E-2</v>
      </c>
      <c r="F507">
        <f>IFERROR(IF(_xlfn.XLOOKUP(C507, ①オッズ入力!$A$2:$A$19, ①オッズ入力!$D$2:$D$19, "")="", 0, _xlfn.XLOOKUP(C507, ①オッズ入力!$A$2:$A$19, ①オッズ入力!$D$2:$D$19, 0)), 0)</f>
        <v>1.0697612695519792E-2</v>
      </c>
      <c r="G507">
        <f t="shared" si="14"/>
        <v>128872.16461121518</v>
      </c>
      <c r="H507">
        <f>IF(G507="", 0, IF(OR(A507=③資金配分!$D$1, A507=③資金配分!$D$2, B507=③資金配分!$D$1, B507=③資金配分!$D$2, C507=③資金配分!$D$1, C507=③資金配分!$D$2), 0, IF(OR(A507=③資金配分!$D$4, A507=③資金配分!$D$5, A507=③資金配分!$D$6, B507=③資金配分!$D$4, B507=③資金配分!$D$5, B507=③資金配分!$D$6, C507=③資金配分!$D$4, C507=③資金配分!$D$5, C507=③資金配分!$D$6), 0, IF(AND(③資金配分!$B$8&gt;0, G507&lt;=③資金配分!$B$8), 1, 0))))</f>
        <v>0</v>
      </c>
      <c r="I507">
        <f t="shared" si="15"/>
        <v>0</v>
      </c>
      <c r="J507">
        <f>IF(I507&gt;0, ROUND((I507 / SUM($I$2:$I$817)) * ③資金配分!$B$7, -2), 0)</f>
        <v>0</v>
      </c>
    </row>
    <row r="508" spans="1:10" x14ac:dyDescent="0.4">
      <c r="A508">
        <v>5</v>
      </c>
      <c r="B508">
        <v>11</v>
      </c>
      <c r="C508">
        <v>16</v>
      </c>
      <c r="D508">
        <f>IFERROR(IF(_xlfn.XLOOKUP(A508, ①オッズ入力!$A$2:$A$19, ①オッズ入力!$D$2:$D$19, "")="", 0, _xlfn.XLOOKUP(A508, ①オッズ入力!$A$2:$A$19, ①オッズ入力!$D$2:$D$19, 0)), 0)</f>
        <v>4.4662533003795128E-2</v>
      </c>
      <c r="E508">
        <f>IFERROR(IF(_xlfn.XLOOKUP(B508, ①オッズ入力!$A$2:$A$19, ①オッズ入力!$D$2:$D$19, "")="", 0, _xlfn.XLOOKUP(B508, ①オッズ入力!$A$2:$A$19, ①オッズ入力!$D$2:$D$19, 0)), 0)</f>
        <v>1.6240921092289137E-2</v>
      </c>
      <c r="F508">
        <f>IFERROR(IF(_xlfn.XLOOKUP(C508, ①オッズ入力!$A$2:$A$19, ①オッズ入力!$D$2:$D$19, "")="", 0, _xlfn.XLOOKUP(C508, ①オッズ入力!$A$2:$A$19, ①オッズ入力!$D$2:$D$19, 0)), 0)</f>
        <v>9.8701730395127345E-3</v>
      </c>
      <c r="G508">
        <f t="shared" si="14"/>
        <v>139675.81912952065</v>
      </c>
      <c r="H508">
        <f>IF(G508="", 0, IF(OR(A508=③資金配分!$D$1, A508=③資金配分!$D$2, B508=③資金配分!$D$1, B508=③資金配分!$D$2, C508=③資金配分!$D$1, C508=③資金配分!$D$2), 0, IF(OR(A508=③資金配分!$D$4, A508=③資金配分!$D$5, A508=③資金配分!$D$6, B508=③資金配分!$D$4, B508=③資金配分!$D$5, B508=③資金配分!$D$6, C508=③資金配分!$D$4, C508=③資金配分!$D$5, C508=③資金配分!$D$6), 0, IF(AND(③資金配分!$B$8&gt;0, G508&lt;=③資金配分!$B$8), 1, 0))))</f>
        <v>0</v>
      </c>
      <c r="I508">
        <f t="shared" si="15"/>
        <v>0</v>
      </c>
      <c r="J508">
        <f>IF(I508&gt;0, ROUND((I508 / SUM($I$2:$I$817)) * ③資金配分!$B$7, -2), 0)</f>
        <v>0</v>
      </c>
    </row>
    <row r="509" spans="1:10" x14ac:dyDescent="0.4">
      <c r="A509">
        <v>5</v>
      </c>
      <c r="B509">
        <v>11</v>
      </c>
      <c r="C509">
        <v>17</v>
      </c>
      <c r="D509">
        <f>IFERROR(IF(_xlfn.XLOOKUP(A509, ①オッズ入力!$A$2:$A$19, ①オッズ入力!$D$2:$D$19, "")="", 0, _xlfn.XLOOKUP(A509, ①オッズ入力!$A$2:$A$19, ①オッズ入力!$D$2:$D$19, 0)), 0)</f>
        <v>4.4662533003795128E-2</v>
      </c>
      <c r="E509">
        <f>IFERROR(IF(_xlfn.XLOOKUP(B509, ①オッズ入力!$A$2:$A$19, ①オッズ入力!$D$2:$D$19, "")="", 0, _xlfn.XLOOKUP(B509, ①オッズ入力!$A$2:$A$19, ①オッズ入力!$D$2:$D$19, 0)), 0)</f>
        <v>1.6240921092289137E-2</v>
      </c>
      <c r="F509">
        <f>IFERROR(IF(_xlfn.XLOOKUP(C509, ①オッズ入力!$A$2:$A$19, ①オッズ入力!$D$2:$D$19, "")="", 0, _xlfn.XLOOKUP(C509, ①オッズ入力!$A$2:$A$19, ①オッズ入力!$D$2:$D$19, 0)), 0)</f>
        <v>9.1615452315477186E-3</v>
      </c>
      <c r="G509">
        <f t="shared" si="14"/>
        <v>150479.47364782612</v>
      </c>
      <c r="H509">
        <f>IF(G509="", 0, IF(OR(A509=③資金配分!$D$1, A509=③資金配分!$D$2, B509=③資金配分!$D$1, B509=③資金配分!$D$2, C509=③資金配分!$D$1, C509=③資金配分!$D$2), 0, IF(OR(A509=③資金配分!$D$4, A509=③資金配分!$D$5, A509=③資金配分!$D$6, B509=③資金配分!$D$4, B509=③資金配分!$D$5, B509=③資金配分!$D$6, C509=③資金配分!$D$4, C509=③資金配分!$D$5, C509=③資金配分!$D$6), 0, IF(AND(③資金配分!$B$8&gt;0, G509&lt;=③資金配分!$B$8), 1, 0))))</f>
        <v>0</v>
      </c>
      <c r="I509">
        <f t="shared" si="15"/>
        <v>0</v>
      </c>
      <c r="J509">
        <f>IF(I509&gt;0, ROUND((I509 / SUM($I$2:$I$817)) * ③資金配分!$B$7, -2), 0)</f>
        <v>0</v>
      </c>
    </row>
    <row r="510" spans="1:10" x14ac:dyDescent="0.4">
      <c r="A510">
        <v>5</v>
      </c>
      <c r="B510">
        <v>11</v>
      </c>
      <c r="C510">
        <v>18</v>
      </c>
      <c r="D510">
        <f>IFERROR(IF(_xlfn.XLOOKUP(A510, ①オッズ入力!$A$2:$A$19, ①オッズ入力!$D$2:$D$19, "")="", 0, _xlfn.XLOOKUP(A510, ①オッズ入力!$A$2:$A$19, ①オッズ入力!$D$2:$D$19, 0)), 0)</f>
        <v>4.4662533003795128E-2</v>
      </c>
      <c r="E510">
        <f>IFERROR(IF(_xlfn.XLOOKUP(B510, ①オッズ入力!$A$2:$A$19, ①オッズ入力!$D$2:$D$19, "")="", 0, _xlfn.XLOOKUP(B510, ①オッズ入力!$A$2:$A$19, ①オッズ入力!$D$2:$D$19, 0)), 0)</f>
        <v>1.6240921092289137E-2</v>
      </c>
      <c r="F510">
        <f>IFERROR(IF(_xlfn.XLOOKUP(C510, ①オッズ入力!$A$2:$A$19, ①オッズ入力!$D$2:$D$19, "")="", 0, _xlfn.XLOOKUP(C510, ①オッズ入力!$A$2:$A$19, ①オッズ入力!$D$2:$D$19, 0)), 0)</f>
        <v>8.5478532064679671E-3</v>
      </c>
      <c r="G510">
        <f t="shared" si="14"/>
        <v>161283.12816613156</v>
      </c>
      <c r="H510">
        <f>IF(G510="", 0, IF(OR(A510=③資金配分!$D$1, A510=③資金配分!$D$2, B510=③資金配分!$D$1, B510=③資金配分!$D$2, C510=③資金配分!$D$1, C510=③資金配分!$D$2), 0, IF(OR(A510=③資金配分!$D$4, A510=③資金配分!$D$5, A510=③資金配分!$D$6, B510=③資金配分!$D$4, B510=③資金配分!$D$5, B510=③資金配分!$D$6, C510=③資金配分!$D$4, C510=③資金配分!$D$5, C510=③資金配分!$D$6), 0, IF(AND(③資金配分!$B$8&gt;0, G510&lt;=③資金配分!$B$8), 1, 0))))</f>
        <v>0</v>
      </c>
      <c r="I510">
        <f t="shared" si="15"/>
        <v>0</v>
      </c>
      <c r="J510">
        <f>IF(I510&gt;0, ROUND((I510 / SUM($I$2:$I$817)) * ③資金配分!$B$7, -2), 0)</f>
        <v>0</v>
      </c>
    </row>
    <row r="511" spans="1:10" x14ac:dyDescent="0.4">
      <c r="A511">
        <v>5</v>
      </c>
      <c r="B511">
        <v>12</v>
      </c>
      <c r="C511">
        <v>13</v>
      </c>
      <c r="D511">
        <f>IFERROR(IF(_xlfn.XLOOKUP(A511, ①オッズ入力!$A$2:$A$19, ①オッズ入力!$D$2:$D$19, "")="", 0, _xlfn.XLOOKUP(A511, ①オッズ入力!$A$2:$A$19, ①オッズ入力!$D$2:$D$19, 0)), 0)</f>
        <v>4.4662533003795128E-2</v>
      </c>
      <c r="E511">
        <f>IFERROR(IF(_xlfn.XLOOKUP(B511, ①オッズ入力!$A$2:$A$19, ①オッズ入力!$D$2:$D$19, "")="", 0, _xlfn.XLOOKUP(B511, ①オッズ入力!$A$2:$A$19, ①オッズ入力!$D$2:$D$19, 0)), 0)</f>
        <v>1.4887511001265043E-2</v>
      </c>
      <c r="F511">
        <f>IFERROR(IF(_xlfn.XLOOKUP(C511, ①オッズ入力!$A$2:$A$19, ①オッズ入力!$D$2:$D$19, "")="", 0, _xlfn.XLOOKUP(C511, ①オッズ入力!$A$2:$A$19, ①オッズ入力!$D$2:$D$19, 0)), 0)</f>
        <v>1.2760723715370036E-2</v>
      </c>
      <c r="G511">
        <f t="shared" si="14"/>
        <v>117858.04929060506</v>
      </c>
      <c r="H511">
        <f>IF(G511="", 0, IF(OR(A511=③資金配分!$D$1, A511=③資金配分!$D$2, B511=③資金配分!$D$1, B511=③資金配分!$D$2, C511=③資金配分!$D$1, C511=③資金配分!$D$2), 0, IF(OR(A511=③資金配分!$D$4, A511=③資金配分!$D$5, A511=③資金配分!$D$6, B511=③資金配分!$D$4, B511=③資金配分!$D$5, B511=③資金配分!$D$6, C511=③資金配分!$D$4, C511=③資金配分!$D$5, C511=③資金配分!$D$6), 0, IF(AND(③資金配分!$B$8&gt;0, G511&lt;=③資金配分!$B$8), 1, 0))))</f>
        <v>0</v>
      </c>
      <c r="I511">
        <f t="shared" si="15"/>
        <v>0</v>
      </c>
      <c r="J511">
        <f>IF(I511&gt;0, ROUND((I511 / SUM($I$2:$I$817)) * ③資金配分!$B$7, -2), 0)</f>
        <v>0</v>
      </c>
    </row>
    <row r="512" spans="1:10" x14ac:dyDescent="0.4">
      <c r="A512">
        <v>5</v>
      </c>
      <c r="B512">
        <v>12</v>
      </c>
      <c r="C512">
        <v>14</v>
      </c>
      <c r="D512">
        <f>IFERROR(IF(_xlfn.XLOOKUP(A512, ①オッズ入力!$A$2:$A$19, ①オッズ入力!$D$2:$D$19, "")="", 0, _xlfn.XLOOKUP(A512, ①オッズ入力!$A$2:$A$19, ①オッズ入力!$D$2:$D$19, 0)), 0)</f>
        <v>4.4662533003795128E-2</v>
      </c>
      <c r="E512">
        <f>IFERROR(IF(_xlfn.XLOOKUP(B512, ①オッズ入力!$A$2:$A$19, ①オッズ入力!$D$2:$D$19, "")="", 0, _xlfn.XLOOKUP(B512, ①オッズ入力!$A$2:$A$19, ①オッズ入力!$D$2:$D$19, 0)), 0)</f>
        <v>1.4887511001265043E-2</v>
      </c>
      <c r="F512">
        <f>IFERROR(IF(_xlfn.XLOOKUP(C512, ①オッズ入力!$A$2:$A$19, ①オッズ入力!$D$2:$D$19, "")="", 0, _xlfn.XLOOKUP(C512, ①オッズ入力!$A$2:$A$19, ①オッズ入力!$D$2:$D$19, 0)), 0)</f>
        <v>1.1525814968721322E-2</v>
      </c>
      <c r="G512">
        <f t="shared" si="14"/>
        <v>130485.69742888416</v>
      </c>
      <c r="H512">
        <f>IF(G512="", 0, IF(OR(A512=③資金配分!$D$1, A512=③資金配分!$D$2, B512=③資金配分!$D$1, B512=③資金配分!$D$2, C512=③資金配分!$D$1, C512=③資金配分!$D$2), 0, IF(OR(A512=③資金配分!$D$4, A512=③資金配分!$D$5, A512=③資金配分!$D$6, B512=③資金配分!$D$4, B512=③資金配分!$D$5, B512=③資金配分!$D$6, C512=③資金配分!$D$4, C512=③資金配分!$D$5, C512=③資金配分!$D$6), 0, IF(AND(③資金配分!$B$8&gt;0, G512&lt;=③資金配分!$B$8), 1, 0))))</f>
        <v>0</v>
      </c>
      <c r="I512">
        <f t="shared" si="15"/>
        <v>0</v>
      </c>
      <c r="J512">
        <f>IF(I512&gt;0, ROUND((I512 / SUM($I$2:$I$817)) * ③資金配分!$B$7, -2), 0)</f>
        <v>0</v>
      </c>
    </row>
    <row r="513" spans="1:10" x14ac:dyDescent="0.4">
      <c r="A513">
        <v>5</v>
      </c>
      <c r="B513">
        <v>12</v>
      </c>
      <c r="C513">
        <v>15</v>
      </c>
      <c r="D513">
        <f>IFERROR(IF(_xlfn.XLOOKUP(A513, ①オッズ入力!$A$2:$A$19, ①オッズ入力!$D$2:$D$19, "")="", 0, _xlfn.XLOOKUP(A513, ①オッズ入力!$A$2:$A$19, ①オッズ入力!$D$2:$D$19, 0)), 0)</f>
        <v>4.4662533003795128E-2</v>
      </c>
      <c r="E513">
        <f>IFERROR(IF(_xlfn.XLOOKUP(B513, ①オッズ入力!$A$2:$A$19, ①オッズ入力!$D$2:$D$19, "")="", 0, _xlfn.XLOOKUP(B513, ①オッズ入力!$A$2:$A$19, ①オッズ入力!$D$2:$D$19, 0)), 0)</f>
        <v>1.4887511001265043E-2</v>
      </c>
      <c r="F513">
        <f>IFERROR(IF(_xlfn.XLOOKUP(C513, ①オッズ入力!$A$2:$A$19, ①オッズ入力!$D$2:$D$19, "")="", 0, _xlfn.XLOOKUP(C513, ①オッズ入力!$A$2:$A$19, ①オッズ入力!$D$2:$D$19, 0)), 0)</f>
        <v>1.0697612695519792E-2</v>
      </c>
      <c r="G513">
        <f t="shared" si="14"/>
        <v>140587.81593950745</v>
      </c>
      <c r="H513">
        <f>IF(G513="", 0, IF(OR(A513=③資金配分!$D$1, A513=③資金配分!$D$2, B513=③資金配分!$D$1, B513=③資金配分!$D$2, C513=③資金配分!$D$1, C513=③資金配分!$D$2), 0, IF(OR(A513=③資金配分!$D$4, A513=③資金配分!$D$5, A513=③資金配分!$D$6, B513=③資金配分!$D$4, B513=③資金配分!$D$5, B513=③資金配分!$D$6, C513=③資金配分!$D$4, C513=③資金配分!$D$5, C513=③資金配分!$D$6), 0, IF(AND(③資金配分!$B$8&gt;0, G513&lt;=③資金配分!$B$8), 1, 0))))</f>
        <v>0</v>
      </c>
      <c r="I513">
        <f t="shared" si="15"/>
        <v>0</v>
      </c>
      <c r="J513">
        <f>IF(I513&gt;0, ROUND((I513 / SUM($I$2:$I$817)) * ③資金配分!$B$7, -2), 0)</f>
        <v>0</v>
      </c>
    </row>
    <row r="514" spans="1:10" x14ac:dyDescent="0.4">
      <c r="A514">
        <v>5</v>
      </c>
      <c r="B514">
        <v>12</v>
      </c>
      <c r="C514">
        <v>16</v>
      </c>
      <c r="D514">
        <f>IFERROR(IF(_xlfn.XLOOKUP(A514, ①オッズ入力!$A$2:$A$19, ①オッズ入力!$D$2:$D$19, "")="", 0, _xlfn.XLOOKUP(A514, ①オッズ入力!$A$2:$A$19, ①オッズ入力!$D$2:$D$19, 0)), 0)</f>
        <v>4.4662533003795128E-2</v>
      </c>
      <c r="E514">
        <f>IFERROR(IF(_xlfn.XLOOKUP(B514, ①オッズ入力!$A$2:$A$19, ①オッズ入力!$D$2:$D$19, "")="", 0, _xlfn.XLOOKUP(B514, ①オッズ入力!$A$2:$A$19, ①オッズ入力!$D$2:$D$19, 0)), 0)</f>
        <v>1.4887511001265043E-2</v>
      </c>
      <c r="F514">
        <f>IFERROR(IF(_xlfn.XLOOKUP(C514, ①オッズ入力!$A$2:$A$19, ①オッズ入力!$D$2:$D$19, "")="", 0, _xlfn.XLOOKUP(C514, ①オッズ入力!$A$2:$A$19, ①オッズ入力!$D$2:$D$19, 0)), 0)</f>
        <v>9.8701730395127345E-3</v>
      </c>
      <c r="G514">
        <f t="shared" si="14"/>
        <v>152373.62086856796</v>
      </c>
      <c r="H514">
        <f>IF(G514="", 0, IF(OR(A514=③資金配分!$D$1, A514=③資金配分!$D$2, B514=③資金配分!$D$1, B514=③資金配分!$D$2, C514=③資金配分!$D$1, C514=③資金配分!$D$2), 0, IF(OR(A514=③資金配分!$D$4, A514=③資金配分!$D$5, A514=③資金配分!$D$6, B514=③資金配分!$D$4, B514=③資金配分!$D$5, B514=③資金配分!$D$6, C514=③資金配分!$D$4, C514=③資金配分!$D$5, C514=③資金配分!$D$6), 0, IF(AND(③資金配分!$B$8&gt;0, G514&lt;=③資金配分!$B$8), 1, 0))))</f>
        <v>0</v>
      </c>
      <c r="I514">
        <f t="shared" si="15"/>
        <v>0</v>
      </c>
      <c r="J514">
        <f>IF(I514&gt;0, ROUND((I514 / SUM($I$2:$I$817)) * ③資金配分!$B$7, -2), 0)</f>
        <v>0</v>
      </c>
    </row>
    <row r="515" spans="1:10" x14ac:dyDescent="0.4">
      <c r="A515">
        <v>5</v>
      </c>
      <c r="B515">
        <v>12</v>
      </c>
      <c r="C515">
        <v>17</v>
      </c>
      <c r="D515">
        <f>IFERROR(IF(_xlfn.XLOOKUP(A515, ①オッズ入力!$A$2:$A$19, ①オッズ入力!$D$2:$D$19, "")="", 0, _xlfn.XLOOKUP(A515, ①オッズ入力!$A$2:$A$19, ①オッズ入力!$D$2:$D$19, 0)), 0)</f>
        <v>4.4662533003795128E-2</v>
      </c>
      <c r="E515">
        <f>IFERROR(IF(_xlfn.XLOOKUP(B515, ①オッズ入力!$A$2:$A$19, ①オッズ入力!$D$2:$D$19, "")="", 0, _xlfn.XLOOKUP(B515, ①オッズ入力!$A$2:$A$19, ①オッズ入力!$D$2:$D$19, 0)), 0)</f>
        <v>1.4887511001265043E-2</v>
      </c>
      <c r="F515">
        <f>IFERROR(IF(_xlfn.XLOOKUP(C515, ①オッズ入力!$A$2:$A$19, ①オッズ入力!$D$2:$D$19, "")="", 0, _xlfn.XLOOKUP(C515, ①オッズ入力!$A$2:$A$19, ①オッズ入力!$D$2:$D$19, 0)), 0)</f>
        <v>9.1615452315477186E-3</v>
      </c>
      <c r="G515">
        <f t="shared" ref="G515:G578" si="16">IF(OR(D515=0, E515=0, F515=0), "", 1/(D515*E515*F515))</f>
        <v>164159.42579762847</v>
      </c>
      <c r="H515">
        <f>IF(G515="", 0, IF(OR(A515=③資金配分!$D$1, A515=③資金配分!$D$2, B515=③資金配分!$D$1, B515=③資金配分!$D$2, C515=③資金配分!$D$1, C515=③資金配分!$D$2), 0, IF(OR(A515=③資金配分!$D$4, A515=③資金配分!$D$5, A515=③資金配分!$D$6, B515=③資金配分!$D$4, B515=③資金配分!$D$5, B515=③資金配分!$D$6, C515=③資金配分!$D$4, C515=③資金配分!$D$5, C515=③資金配分!$D$6), 0, IF(AND(③資金配分!$B$8&gt;0, G515&lt;=③資金配分!$B$8), 1, 0))))</f>
        <v>0</v>
      </c>
      <c r="I515">
        <f t="shared" ref="I515:I578" si="17">IF(H515=1, 1/G515, 0)</f>
        <v>0</v>
      </c>
      <c r="J515">
        <f>IF(I515&gt;0, ROUND((I515 / SUM($I$2:$I$817)) * ③資金配分!$B$7, -2), 0)</f>
        <v>0</v>
      </c>
    </row>
    <row r="516" spans="1:10" x14ac:dyDescent="0.4">
      <c r="A516">
        <v>5</v>
      </c>
      <c r="B516">
        <v>12</v>
      </c>
      <c r="C516">
        <v>18</v>
      </c>
      <c r="D516">
        <f>IFERROR(IF(_xlfn.XLOOKUP(A516, ①オッズ入力!$A$2:$A$19, ①オッズ入力!$D$2:$D$19, "")="", 0, _xlfn.XLOOKUP(A516, ①オッズ入力!$A$2:$A$19, ①オッズ入力!$D$2:$D$19, 0)), 0)</f>
        <v>4.4662533003795128E-2</v>
      </c>
      <c r="E516">
        <f>IFERROR(IF(_xlfn.XLOOKUP(B516, ①オッズ入力!$A$2:$A$19, ①オッズ入力!$D$2:$D$19, "")="", 0, _xlfn.XLOOKUP(B516, ①オッズ入力!$A$2:$A$19, ①オッズ入力!$D$2:$D$19, 0)), 0)</f>
        <v>1.4887511001265043E-2</v>
      </c>
      <c r="F516">
        <f>IFERROR(IF(_xlfn.XLOOKUP(C516, ①オッズ入力!$A$2:$A$19, ①オッズ入力!$D$2:$D$19, "")="", 0, _xlfn.XLOOKUP(C516, ①オッズ入力!$A$2:$A$19, ①オッズ入力!$D$2:$D$19, 0)), 0)</f>
        <v>8.5478532064679671E-3</v>
      </c>
      <c r="G516">
        <f t="shared" si="16"/>
        <v>175945.23072668895</v>
      </c>
      <c r="H516">
        <f>IF(G516="", 0, IF(OR(A516=③資金配分!$D$1, A516=③資金配分!$D$2, B516=③資金配分!$D$1, B516=③資金配分!$D$2, C516=③資金配分!$D$1, C516=③資金配分!$D$2), 0, IF(OR(A516=③資金配分!$D$4, A516=③資金配分!$D$5, A516=③資金配分!$D$6, B516=③資金配分!$D$4, B516=③資金配分!$D$5, B516=③資金配分!$D$6, C516=③資金配分!$D$4, C516=③資金配分!$D$5, C516=③資金配分!$D$6), 0, IF(AND(③資金配分!$B$8&gt;0, G516&lt;=③資金配分!$B$8), 1, 0))))</f>
        <v>0</v>
      </c>
      <c r="I516">
        <f t="shared" si="17"/>
        <v>0</v>
      </c>
      <c r="J516">
        <f>IF(I516&gt;0, ROUND((I516 / SUM($I$2:$I$817)) * ③資金配分!$B$7, -2), 0)</f>
        <v>0</v>
      </c>
    </row>
    <row r="517" spans="1:10" x14ac:dyDescent="0.4">
      <c r="A517">
        <v>5</v>
      </c>
      <c r="B517">
        <v>13</v>
      </c>
      <c r="C517">
        <v>14</v>
      </c>
      <c r="D517">
        <f>IFERROR(IF(_xlfn.XLOOKUP(A517, ①オッズ入力!$A$2:$A$19, ①オッズ入力!$D$2:$D$19, "")="", 0, _xlfn.XLOOKUP(A517, ①オッズ入力!$A$2:$A$19, ①オッズ入力!$D$2:$D$19, 0)), 0)</f>
        <v>4.4662533003795128E-2</v>
      </c>
      <c r="E517">
        <f>IFERROR(IF(_xlfn.XLOOKUP(B517, ①オッズ入力!$A$2:$A$19, ①オッズ入力!$D$2:$D$19, "")="", 0, _xlfn.XLOOKUP(B517, ①オッズ入力!$A$2:$A$19, ①オッズ入力!$D$2:$D$19, 0)), 0)</f>
        <v>1.2760723715370036E-2</v>
      </c>
      <c r="F517">
        <f>IFERROR(IF(_xlfn.XLOOKUP(C517, ①オッズ入力!$A$2:$A$19, ①オッズ入力!$D$2:$D$19, "")="", 0, _xlfn.XLOOKUP(C517, ①オッズ入力!$A$2:$A$19, ①オッズ入力!$D$2:$D$19, 0)), 0)</f>
        <v>1.1525814968721322E-2</v>
      </c>
      <c r="G517">
        <f t="shared" si="16"/>
        <v>152233.31366703153</v>
      </c>
      <c r="H517">
        <f>IF(G517="", 0, IF(OR(A517=③資金配分!$D$1, A517=③資金配分!$D$2, B517=③資金配分!$D$1, B517=③資金配分!$D$2, C517=③資金配分!$D$1, C517=③資金配分!$D$2), 0, IF(OR(A517=③資金配分!$D$4, A517=③資金配分!$D$5, A517=③資金配分!$D$6, B517=③資金配分!$D$4, B517=③資金配分!$D$5, B517=③資金配分!$D$6, C517=③資金配分!$D$4, C517=③資金配分!$D$5, C517=③資金配分!$D$6), 0, IF(AND(③資金配分!$B$8&gt;0, G517&lt;=③資金配分!$B$8), 1, 0))))</f>
        <v>0</v>
      </c>
      <c r="I517">
        <f t="shared" si="17"/>
        <v>0</v>
      </c>
      <c r="J517">
        <f>IF(I517&gt;0, ROUND((I517 / SUM($I$2:$I$817)) * ③資金配分!$B$7, -2), 0)</f>
        <v>0</v>
      </c>
    </row>
    <row r="518" spans="1:10" x14ac:dyDescent="0.4">
      <c r="A518">
        <v>5</v>
      </c>
      <c r="B518">
        <v>13</v>
      </c>
      <c r="C518">
        <v>15</v>
      </c>
      <c r="D518">
        <f>IFERROR(IF(_xlfn.XLOOKUP(A518, ①オッズ入力!$A$2:$A$19, ①オッズ入力!$D$2:$D$19, "")="", 0, _xlfn.XLOOKUP(A518, ①オッズ入力!$A$2:$A$19, ①オッズ入力!$D$2:$D$19, 0)), 0)</f>
        <v>4.4662533003795128E-2</v>
      </c>
      <c r="E518">
        <f>IFERROR(IF(_xlfn.XLOOKUP(B518, ①オッズ入力!$A$2:$A$19, ①オッズ入力!$D$2:$D$19, "")="", 0, _xlfn.XLOOKUP(B518, ①オッズ入力!$A$2:$A$19, ①オッズ入力!$D$2:$D$19, 0)), 0)</f>
        <v>1.2760723715370036E-2</v>
      </c>
      <c r="F518">
        <f>IFERROR(IF(_xlfn.XLOOKUP(C518, ①オッズ入力!$A$2:$A$19, ①オッズ入力!$D$2:$D$19, "")="", 0, _xlfn.XLOOKUP(C518, ①オッズ入力!$A$2:$A$19, ①オッズ入力!$D$2:$D$19, 0)), 0)</f>
        <v>1.0697612695519792E-2</v>
      </c>
      <c r="G518">
        <f t="shared" si="16"/>
        <v>164019.11859609201</v>
      </c>
      <c r="H518">
        <f>IF(G518="", 0, IF(OR(A518=③資金配分!$D$1, A518=③資金配分!$D$2, B518=③資金配分!$D$1, B518=③資金配分!$D$2, C518=③資金配分!$D$1, C518=③資金配分!$D$2), 0, IF(OR(A518=③資金配分!$D$4, A518=③資金配分!$D$5, A518=③資金配分!$D$6, B518=③資金配分!$D$4, B518=③資金配分!$D$5, B518=③資金配分!$D$6, C518=③資金配分!$D$4, C518=③資金配分!$D$5, C518=③資金配分!$D$6), 0, IF(AND(③資金配分!$B$8&gt;0, G518&lt;=③資金配分!$B$8), 1, 0))))</f>
        <v>0</v>
      </c>
      <c r="I518">
        <f t="shared" si="17"/>
        <v>0</v>
      </c>
      <c r="J518">
        <f>IF(I518&gt;0, ROUND((I518 / SUM($I$2:$I$817)) * ③資金配分!$B$7, -2), 0)</f>
        <v>0</v>
      </c>
    </row>
    <row r="519" spans="1:10" x14ac:dyDescent="0.4">
      <c r="A519">
        <v>5</v>
      </c>
      <c r="B519">
        <v>13</v>
      </c>
      <c r="C519">
        <v>16</v>
      </c>
      <c r="D519">
        <f>IFERROR(IF(_xlfn.XLOOKUP(A519, ①オッズ入力!$A$2:$A$19, ①オッズ入力!$D$2:$D$19, "")="", 0, _xlfn.XLOOKUP(A519, ①オッズ入力!$A$2:$A$19, ①オッズ入力!$D$2:$D$19, 0)), 0)</f>
        <v>4.4662533003795128E-2</v>
      </c>
      <c r="E519">
        <f>IFERROR(IF(_xlfn.XLOOKUP(B519, ①オッズ入力!$A$2:$A$19, ①オッズ入力!$D$2:$D$19, "")="", 0, _xlfn.XLOOKUP(B519, ①オッズ入力!$A$2:$A$19, ①オッズ入力!$D$2:$D$19, 0)), 0)</f>
        <v>1.2760723715370036E-2</v>
      </c>
      <c r="F519">
        <f>IFERROR(IF(_xlfn.XLOOKUP(C519, ①オッズ入力!$A$2:$A$19, ①オッズ入力!$D$2:$D$19, "")="", 0, _xlfn.XLOOKUP(C519, ①オッズ入力!$A$2:$A$19, ①オッズ入力!$D$2:$D$19, 0)), 0)</f>
        <v>9.8701730395127345E-3</v>
      </c>
      <c r="G519">
        <f t="shared" si="16"/>
        <v>177769.22434666264</v>
      </c>
      <c r="H519">
        <f>IF(G519="", 0, IF(OR(A519=③資金配分!$D$1, A519=③資金配分!$D$2, B519=③資金配分!$D$1, B519=③資金配分!$D$2, C519=③資金配分!$D$1, C519=③資金配分!$D$2), 0, IF(OR(A519=③資金配分!$D$4, A519=③資金配分!$D$5, A519=③資金配分!$D$6, B519=③資金配分!$D$4, B519=③資金配分!$D$5, B519=③資金配分!$D$6, C519=③資金配分!$D$4, C519=③資金配分!$D$5, C519=③資金配分!$D$6), 0, IF(AND(③資金配分!$B$8&gt;0, G519&lt;=③資金配分!$B$8), 1, 0))))</f>
        <v>0</v>
      </c>
      <c r="I519">
        <f t="shared" si="17"/>
        <v>0</v>
      </c>
      <c r="J519">
        <f>IF(I519&gt;0, ROUND((I519 / SUM($I$2:$I$817)) * ③資金配分!$B$7, -2), 0)</f>
        <v>0</v>
      </c>
    </row>
    <row r="520" spans="1:10" x14ac:dyDescent="0.4">
      <c r="A520">
        <v>5</v>
      </c>
      <c r="B520">
        <v>13</v>
      </c>
      <c r="C520">
        <v>17</v>
      </c>
      <c r="D520">
        <f>IFERROR(IF(_xlfn.XLOOKUP(A520, ①オッズ入力!$A$2:$A$19, ①オッズ入力!$D$2:$D$19, "")="", 0, _xlfn.XLOOKUP(A520, ①オッズ入力!$A$2:$A$19, ①オッズ入力!$D$2:$D$19, 0)), 0)</f>
        <v>4.4662533003795128E-2</v>
      </c>
      <c r="E520">
        <f>IFERROR(IF(_xlfn.XLOOKUP(B520, ①オッズ入力!$A$2:$A$19, ①オッズ入力!$D$2:$D$19, "")="", 0, _xlfn.XLOOKUP(B520, ①オッズ入力!$A$2:$A$19, ①オッズ入力!$D$2:$D$19, 0)), 0)</f>
        <v>1.2760723715370036E-2</v>
      </c>
      <c r="F520">
        <f>IFERROR(IF(_xlfn.XLOOKUP(C520, ①オッズ入力!$A$2:$A$19, ①オッズ入力!$D$2:$D$19, "")="", 0, _xlfn.XLOOKUP(C520, ①オッズ入力!$A$2:$A$19, ①オッズ入力!$D$2:$D$19, 0)), 0)</f>
        <v>9.1615452315477186E-3</v>
      </c>
      <c r="G520">
        <f t="shared" si="16"/>
        <v>191519.33009723321</v>
      </c>
      <c r="H520">
        <f>IF(G520="", 0, IF(OR(A520=③資金配分!$D$1, A520=③資金配分!$D$2, B520=③資金配分!$D$1, B520=③資金配分!$D$2, C520=③資金配分!$D$1, C520=③資金配分!$D$2), 0, IF(OR(A520=③資金配分!$D$4, A520=③資金配分!$D$5, A520=③資金配分!$D$6, B520=③資金配分!$D$4, B520=③資金配分!$D$5, B520=③資金配分!$D$6, C520=③資金配分!$D$4, C520=③資金配分!$D$5, C520=③資金配分!$D$6), 0, IF(AND(③資金配分!$B$8&gt;0, G520&lt;=③資金配分!$B$8), 1, 0))))</f>
        <v>0</v>
      </c>
      <c r="I520">
        <f t="shared" si="17"/>
        <v>0</v>
      </c>
      <c r="J520">
        <f>IF(I520&gt;0, ROUND((I520 / SUM($I$2:$I$817)) * ③資金配分!$B$7, -2), 0)</f>
        <v>0</v>
      </c>
    </row>
    <row r="521" spans="1:10" x14ac:dyDescent="0.4">
      <c r="A521">
        <v>5</v>
      </c>
      <c r="B521">
        <v>13</v>
      </c>
      <c r="C521">
        <v>18</v>
      </c>
      <c r="D521">
        <f>IFERROR(IF(_xlfn.XLOOKUP(A521, ①オッズ入力!$A$2:$A$19, ①オッズ入力!$D$2:$D$19, "")="", 0, _xlfn.XLOOKUP(A521, ①オッズ入力!$A$2:$A$19, ①オッズ入力!$D$2:$D$19, 0)), 0)</f>
        <v>4.4662533003795128E-2</v>
      </c>
      <c r="E521">
        <f>IFERROR(IF(_xlfn.XLOOKUP(B521, ①オッズ入力!$A$2:$A$19, ①オッズ入力!$D$2:$D$19, "")="", 0, _xlfn.XLOOKUP(B521, ①オッズ入力!$A$2:$A$19, ①オッズ入力!$D$2:$D$19, 0)), 0)</f>
        <v>1.2760723715370036E-2</v>
      </c>
      <c r="F521">
        <f>IFERROR(IF(_xlfn.XLOOKUP(C521, ①オッズ入力!$A$2:$A$19, ①オッズ入力!$D$2:$D$19, "")="", 0, _xlfn.XLOOKUP(C521, ①オッズ入力!$A$2:$A$19, ①オッズ入力!$D$2:$D$19, 0)), 0)</f>
        <v>8.5478532064679671E-3</v>
      </c>
      <c r="G521">
        <f t="shared" si="16"/>
        <v>205269.4358478038</v>
      </c>
      <c r="H521">
        <f>IF(G521="", 0, IF(OR(A521=③資金配分!$D$1, A521=③資金配分!$D$2, B521=③資金配分!$D$1, B521=③資金配分!$D$2, C521=③資金配分!$D$1, C521=③資金配分!$D$2), 0, IF(OR(A521=③資金配分!$D$4, A521=③資金配分!$D$5, A521=③資金配分!$D$6, B521=③資金配分!$D$4, B521=③資金配分!$D$5, B521=③資金配分!$D$6, C521=③資金配分!$D$4, C521=③資金配分!$D$5, C521=③資金配分!$D$6), 0, IF(AND(③資金配分!$B$8&gt;0, G521&lt;=③資金配分!$B$8), 1, 0))))</f>
        <v>0</v>
      </c>
      <c r="I521">
        <f t="shared" si="17"/>
        <v>0</v>
      </c>
      <c r="J521">
        <f>IF(I521&gt;0, ROUND((I521 / SUM($I$2:$I$817)) * ③資金配分!$B$7, -2), 0)</f>
        <v>0</v>
      </c>
    </row>
    <row r="522" spans="1:10" x14ac:dyDescent="0.4">
      <c r="A522">
        <v>5</v>
      </c>
      <c r="B522">
        <v>14</v>
      </c>
      <c r="C522">
        <v>15</v>
      </c>
      <c r="D522">
        <f>IFERROR(IF(_xlfn.XLOOKUP(A522, ①オッズ入力!$A$2:$A$19, ①オッズ入力!$D$2:$D$19, "")="", 0, _xlfn.XLOOKUP(A522, ①オッズ入力!$A$2:$A$19, ①オッズ入力!$D$2:$D$19, 0)), 0)</f>
        <v>4.4662533003795128E-2</v>
      </c>
      <c r="E522">
        <f>IFERROR(IF(_xlfn.XLOOKUP(B522, ①オッズ入力!$A$2:$A$19, ①オッズ入力!$D$2:$D$19, "")="", 0, _xlfn.XLOOKUP(B522, ①オッズ入力!$A$2:$A$19, ①オッズ入力!$D$2:$D$19, 0)), 0)</f>
        <v>1.1525814968721322E-2</v>
      </c>
      <c r="F522">
        <f>IFERROR(IF(_xlfn.XLOOKUP(C522, ①オッズ入力!$A$2:$A$19, ①オッズ入力!$D$2:$D$19, "")="", 0, _xlfn.XLOOKUP(C522, ①オッズ入力!$A$2:$A$19, ①オッズ入力!$D$2:$D$19, 0)), 0)</f>
        <v>1.0697612695519792E-2</v>
      </c>
      <c r="G522">
        <f t="shared" si="16"/>
        <v>181592.59558853044</v>
      </c>
      <c r="H522">
        <f>IF(G522="", 0, IF(OR(A522=③資金配分!$D$1, A522=③資金配分!$D$2, B522=③資金配分!$D$1, B522=③資金配分!$D$2, C522=③資金配分!$D$1, C522=③資金配分!$D$2), 0, IF(OR(A522=③資金配分!$D$4, A522=③資金配分!$D$5, A522=③資金配分!$D$6, B522=③資金配分!$D$4, B522=③資金配分!$D$5, B522=③資金配分!$D$6, C522=③資金配分!$D$4, C522=③資金配分!$D$5, C522=③資金配分!$D$6), 0, IF(AND(③資金配分!$B$8&gt;0, G522&lt;=③資金配分!$B$8), 1, 0))))</f>
        <v>0</v>
      </c>
      <c r="I522">
        <f t="shared" si="17"/>
        <v>0</v>
      </c>
      <c r="J522">
        <f>IF(I522&gt;0, ROUND((I522 / SUM($I$2:$I$817)) * ③資金配分!$B$7, -2), 0)</f>
        <v>0</v>
      </c>
    </row>
    <row r="523" spans="1:10" x14ac:dyDescent="0.4">
      <c r="A523">
        <v>5</v>
      </c>
      <c r="B523">
        <v>14</v>
      </c>
      <c r="C523">
        <v>16</v>
      </c>
      <c r="D523">
        <f>IFERROR(IF(_xlfn.XLOOKUP(A523, ①オッズ入力!$A$2:$A$19, ①オッズ入力!$D$2:$D$19, "")="", 0, _xlfn.XLOOKUP(A523, ①オッズ入力!$A$2:$A$19, ①オッズ入力!$D$2:$D$19, 0)), 0)</f>
        <v>4.4662533003795128E-2</v>
      </c>
      <c r="E523">
        <f>IFERROR(IF(_xlfn.XLOOKUP(B523, ①オッズ入力!$A$2:$A$19, ①オッズ入力!$D$2:$D$19, "")="", 0, _xlfn.XLOOKUP(B523, ①オッズ入力!$A$2:$A$19, ①オッズ入力!$D$2:$D$19, 0)), 0)</f>
        <v>1.1525814968721322E-2</v>
      </c>
      <c r="F523">
        <f>IFERROR(IF(_xlfn.XLOOKUP(C523, ①オッズ入力!$A$2:$A$19, ①オッズ入力!$D$2:$D$19, "")="", 0, _xlfn.XLOOKUP(C523, ①オッズ入力!$A$2:$A$19, ①オッズ入力!$D$2:$D$19, 0)), 0)</f>
        <v>9.8701730395127345E-3</v>
      </c>
      <c r="G523">
        <f t="shared" si="16"/>
        <v>196815.92695523362</v>
      </c>
      <c r="H523">
        <f>IF(G523="", 0, IF(OR(A523=③資金配分!$D$1, A523=③資金配分!$D$2, B523=③資金配分!$D$1, B523=③資金配分!$D$2, C523=③資金配分!$D$1, C523=③資金配分!$D$2), 0, IF(OR(A523=③資金配分!$D$4, A523=③資金配分!$D$5, A523=③資金配分!$D$6, B523=③資金配分!$D$4, B523=③資金配分!$D$5, B523=③資金配分!$D$6, C523=③資金配分!$D$4, C523=③資金配分!$D$5, C523=③資金配分!$D$6), 0, IF(AND(③資金配分!$B$8&gt;0, G523&lt;=③資金配分!$B$8), 1, 0))))</f>
        <v>0</v>
      </c>
      <c r="I523">
        <f t="shared" si="17"/>
        <v>0</v>
      </c>
      <c r="J523">
        <f>IF(I523&gt;0, ROUND((I523 / SUM($I$2:$I$817)) * ③資金配分!$B$7, -2), 0)</f>
        <v>0</v>
      </c>
    </row>
    <row r="524" spans="1:10" x14ac:dyDescent="0.4">
      <c r="A524">
        <v>5</v>
      </c>
      <c r="B524">
        <v>14</v>
      </c>
      <c r="C524">
        <v>17</v>
      </c>
      <c r="D524">
        <f>IFERROR(IF(_xlfn.XLOOKUP(A524, ①オッズ入力!$A$2:$A$19, ①オッズ入力!$D$2:$D$19, "")="", 0, _xlfn.XLOOKUP(A524, ①オッズ入力!$A$2:$A$19, ①オッズ入力!$D$2:$D$19, 0)), 0)</f>
        <v>4.4662533003795128E-2</v>
      </c>
      <c r="E524">
        <f>IFERROR(IF(_xlfn.XLOOKUP(B524, ①オッズ入力!$A$2:$A$19, ①オッズ入力!$D$2:$D$19, "")="", 0, _xlfn.XLOOKUP(B524, ①オッズ入力!$A$2:$A$19, ①オッズ入力!$D$2:$D$19, 0)), 0)</f>
        <v>1.1525814968721322E-2</v>
      </c>
      <c r="F524">
        <f>IFERROR(IF(_xlfn.XLOOKUP(C524, ①オッズ入力!$A$2:$A$19, ①オッズ入力!$D$2:$D$19, "")="", 0, _xlfn.XLOOKUP(C524, ①オッズ入力!$A$2:$A$19, ①オッズ入力!$D$2:$D$19, 0)), 0)</f>
        <v>9.1615452315477186E-3</v>
      </c>
      <c r="G524">
        <f t="shared" si="16"/>
        <v>212039.2583219368</v>
      </c>
      <c r="H524">
        <f>IF(G524="", 0, IF(OR(A524=③資金配分!$D$1, A524=③資金配分!$D$2, B524=③資金配分!$D$1, B524=③資金配分!$D$2, C524=③資金配分!$D$1, C524=③資金配分!$D$2), 0, IF(OR(A524=③資金配分!$D$4, A524=③資金配分!$D$5, A524=③資金配分!$D$6, B524=③資金配分!$D$4, B524=③資金配分!$D$5, B524=③資金配分!$D$6, C524=③資金配分!$D$4, C524=③資金配分!$D$5, C524=③資金配分!$D$6), 0, IF(AND(③資金配分!$B$8&gt;0, G524&lt;=③資金配分!$B$8), 1, 0))))</f>
        <v>0</v>
      </c>
      <c r="I524">
        <f t="shared" si="17"/>
        <v>0</v>
      </c>
      <c r="J524">
        <f>IF(I524&gt;0, ROUND((I524 / SUM($I$2:$I$817)) * ③資金配分!$B$7, -2), 0)</f>
        <v>0</v>
      </c>
    </row>
    <row r="525" spans="1:10" x14ac:dyDescent="0.4">
      <c r="A525">
        <v>5</v>
      </c>
      <c r="B525">
        <v>14</v>
      </c>
      <c r="C525">
        <v>18</v>
      </c>
      <c r="D525">
        <f>IFERROR(IF(_xlfn.XLOOKUP(A525, ①オッズ入力!$A$2:$A$19, ①オッズ入力!$D$2:$D$19, "")="", 0, _xlfn.XLOOKUP(A525, ①オッズ入力!$A$2:$A$19, ①オッズ入力!$D$2:$D$19, 0)), 0)</f>
        <v>4.4662533003795128E-2</v>
      </c>
      <c r="E525">
        <f>IFERROR(IF(_xlfn.XLOOKUP(B525, ①オッズ入力!$A$2:$A$19, ①オッズ入力!$D$2:$D$19, "")="", 0, _xlfn.XLOOKUP(B525, ①オッズ入力!$A$2:$A$19, ①オッズ入力!$D$2:$D$19, 0)), 0)</f>
        <v>1.1525814968721322E-2</v>
      </c>
      <c r="F525">
        <f>IFERROR(IF(_xlfn.XLOOKUP(C525, ①オッズ入力!$A$2:$A$19, ①オッズ入力!$D$2:$D$19, "")="", 0, _xlfn.XLOOKUP(C525, ①オッズ入力!$A$2:$A$19, ①オッズ入力!$D$2:$D$19, 0)), 0)</f>
        <v>8.5478532064679671E-3</v>
      </c>
      <c r="G525">
        <f t="shared" si="16"/>
        <v>227262.58968863991</v>
      </c>
      <c r="H525">
        <f>IF(G525="", 0, IF(OR(A525=③資金配分!$D$1, A525=③資金配分!$D$2, B525=③資金配分!$D$1, B525=③資金配分!$D$2, C525=③資金配分!$D$1, C525=③資金配分!$D$2), 0, IF(OR(A525=③資金配分!$D$4, A525=③資金配分!$D$5, A525=③資金配分!$D$6, B525=③資金配分!$D$4, B525=③資金配分!$D$5, B525=③資金配分!$D$6, C525=③資金配分!$D$4, C525=③資金配分!$D$5, C525=③資金配分!$D$6), 0, IF(AND(③資金配分!$B$8&gt;0, G525&lt;=③資金配分!$B$8), 1, 0))))</f>
        <v>0</v>
      </c>
      <c r="I525">
        <f t="shared" si="17"/>
        <v>0</v>
      </c>
      <c r="J525">
        <f>IF(I525&gt;0, ROUND((I525 / SUM($I$2:$I$817)) * ③資金配分!$B$7, -2), 0)</f>
        <v>0</v>
      </c>
    </row>
    <row r="526" spans="1:10" x14ac:dyDescent="0.4">
      <c r="A526">
        <v>5</v>
      </c>
      <c r="B526">
        <v>15</v>
      </c>
      <c r="C526">
        <v>16</v>
      </c>
      <c r="D526">
        <f>IFERROR(IF(_xlfn.XLOOKUP(A526, ①オッズ入力!$A$2:$A$19, ①オッズ入力!$D$2:$D$19, "")="", 0, _xlfn.XLOOKUP(A526, ①オッズ入力!$A$2:$A$19, ①オッズ入力!$D$2:$D$19, 0)), 0)</f>
        <v>4.4662533003795128E-2</v>
      </c>
      <c r="E526">
        <f>IFERROR(IF(_xlfn.XLOOKUP(B526, ①オッズ入力!$A$2:$A$19, ①オッズ入力!$D$2:$D$19, "")="", 0, _xlfn.XLOOKUP(B526, ①オッズ入力!$A$2:$A$19, ①オッズ入力!$D$2:$D$19, 0)), 0)</f>
        <v>1.0697612695519792E-2</v>
      </c>
      <c r="F526">
        <f>IFERROR(IF(_xlfn.XLOOKUP(C526, ①オッズ入力!$A$2:$A$19, ①オッズ入力!$D$2:$D$19, "")="", 0, _xlfn.XLOOKUP(C526, ①オッズ入力!$A$2:$A$19, ①オッズ入力!$D$2:$D$19, 0)), 0)</f>
        <v>9.8701730395127345E-3</v>
      </c>
      <c r="G526">
        <f t="shared" si="16"/>
        <v>212053.28904209042</v>
      </c>
      <c r="H526">
        <f>IF(G526="", 0, IF(OR(A526=③資金配分!$D$1, A526=③資金配分!$D$2, B526=③資金配分!$D$1, B526=③資金配分!$D$2, C526=③資金配分!$D$1, C526=③資金配分!$D$2), 0, IF(OR(A526=③資金配分!$D$4, A526=③資金配分!$D$5, A526=③資金配分!$D$6, B526=③資金配分!$D$4, B526=③資金配分!$D$5, B526=③資金配分!$D$6, C526=③資金配分!$D$4, C526=③資金配分!$D$5, C526=③資金配分!$D$6), 0, IF(AND(③資金配分!$B$8&gt;0, G526&lt;=③資金配分!$B$8), 1, 0))))</f>
        <v>0</v>
      </c>
      <c r="I526">
        <f t="shared" si="17"/>
        <v>0</v>
      </c>
      <c r="J526">
        <f>IF(I526&gt;0, ROUND((I526 / SUM($I$2:$I$817)) * ③資金配分!$B$7, -2), 0)</f>
        <v>0</v>
      </c>
    </row>
    <row r="527" spans="1:10" x14ac:dyDescent="0.4">
      <c r="A527">
        <v>5</v>
      </c>
      <c r="B527">
        <v>15</v>
      </c>
      <c r="C527">
        <v>17</v>
      </c>
      <c r="D527">
        <f>IFERROR(IF(_xlfn.XLOOKUP(A527, ①オッズ入力!$A$2:$A$19, ①オッズ入力!$D$2:$D$19, "")="", 0, _xlfn.XLOOKUP(A527, ①オッズ入力!$A$2:$A$19, ①オッズ入力!$D$2:$D$19, 0)), 0)</f>
        <v>4.4662533003795128E-2</v>
      </c>
      <c r="E527">
        <f>IFERROR(IF(_xlfn.XLOOKUP(B527, ①オッズ入力!$A$2:$A$19, ①オッズ入力!$D$2:$D$19, "")="", 0, _xlfn.XLOOKUP(B527, ①オッズ入力!$A$2:$A$19, ①オッズ入力!$D$2:$D$19, 0)), 0)</f>
        <v>1.0697612695519792E-2</v>
      </c>
      <c r="F527">
        <f>IFERROR(IF(_xlfn.XLOOKUP(C527, ①オッズ入力!$A$2:$A$19, ①オッズ入力!$D$2:$D$19, "")="", 0, _xlfn.XLOOKUP(C527, ①オッズ入力!$A$2:$A$19, ①オッズ入力!$D$2:$D$19, 0)), 0)</f>
        <v>9.1615452315477186E-3</v>
      </c>
      <c r="G527">
        <f t="shared" si="16"/>
        <v>228455.2009016996</v>
      </c>
      <c r="H527">
        <f>IF(G527="", 0, IF(OR(A527=③資金配分!$D$1, A527=③資金配分!$D$2, B527=③資金配分!$D$1, B527=③資金配分!$D$2, C527=③資金配分!$D$1, C527=③資金配分!$D$2), 0, IF(OR(A527=③資金配分!$D$4, A527=③資金配分!$D$5, A527=③資金配分!$D$6, B527=③資金配分!$D$4, B527=③資金配分!$D$5, B527=③資金配分!$D$6, C527=③資金配分!$D$4, C527=③資金配分!$D$5, C527=③資金配分!$D$6), 0, IF(AND(③資金配分!$B$8&gt;0, G527&lt;=③資金配分!$B$8), 1, 0))))</f>
        <v>0</v>
      </c>
      <c r="I527">
        <f t="shared" si="17"/>
        <v>0</v>
      </c>
      <c r="J527">
        <f>IF(I527&gt;0, ROUND((I527 / SUM($I$2:$I$817)) * ③資金配分!$B$7, -2), 0)</f>
        <v>0</v>
      </c>
    </row>
    <row r="528" spans="1:10" x14ac:dyDescent="0.4">
      <c r="A528">
        <v>5</v>
      </c>
      <c r="B528">
        <v>15</v>
      </c>
      <c r="C528">
        <v>18</v>
      </c>
      <c r="D528">
        <f>IFERROR(IF(_xlfn.XLOOKUP(A528, ①オッズ入力!$A$2:$A$19, ①オッズ入力!$D$2:$D$19, "")="", 0, _xlfn.XLOOKUP(A528, ①オッズ入力!$A$2:$A$19, ①オッズ入力!$D$2:$D$19, 0)), 0)</f>
        <v>4.4662533003795128E-2</v>
      </c>
      <c r="E528">
        <f>IFERROR(IF(_xlfn.XLOOKUP(B528, ①オッズ入力!$A$2:$A$19, ①オッズ入力!$D$2:$D$19, "")="", 0, _xlfn.XLOOKUP(B528, ①オッズ入力!$A$2:$A$19, ①オッズ入力!$D$2:$D$19, 0)), 0)</f>
        <v>1.0697612695519792E-2</v>
      </c>
      <c r="F528">
        <f>IFERROR(IF(_xlfn.XLOOKUP(C528, ①オッズ入力!$A$2:$A$19, ①オッズ入力!$D$2:$D$19, "")="", 0, _xlfn.XLOOKUP(C528, ①オッズ入力!$A$2:$A$19, ①オッズ入力!$D$2:$D$19, 0)), 0)</f>
        <v>8.5478532064679671E-3</v>
      </c>
      <c r="G528">
        <f t="shared" si="16"/>
        <v>244857.11276130882</v>
      </c>
      <c r="H528">
        <f>IF(G528="", 0, IF(OR(A528=③資金配分!$D$1, A528=③資金配分!$D$2, B528=③資金配分!$D$1, B528=③資金配分!$D$2, C528=③資金配分!$D$1, C528=③資金配分!$D$2), 0, IF(OR(A528=③資金配分!$D$4, A528=③資金配分!$D$5, A528=③資金配分!$D$6, B528=③資金配分!$D$4, B528=③資金配分!$D$5, B528=③資金配分!$D$6, C528=③資金配分!$D$4, C528=③資金配分!$D$5, C528=③資金配分!$D$6), 0, IF(AND(③資金配分!$B$8&gt;0, G528&lt;=③資金配分!$B$8), 1, 0))))</f>
        <v>0</v>
      </c>
      <c r="I528">
        <f t="shared" si="17"/>
        <v>0</v>
      </c>
      <c r="J528">
        <f>IF(I528&gt;0, ROUND((I528 / SUM($I$2:$I$817)) * ③資金配分!$B$7, -2), 0)</f>
        <v>0</v>
      </c>
    </row>
    <row r="529" spans="1:10" x14ac:dyDescent="0.4">
      <c r="A529">
        <v>5</v>
      </c>
      <c r="B529">
        <v>16</v>
      </c>
      <c r="C529">
        <v>17</v>
      </c>
      <c r="D529">
        <f>IFERROR(IF(_xlfn.XLOOKUP(A529, ①オッズ入力!$A$2:$A$19, ①オッズ入力!$D$2:$D$19, "")="", 0, _xlfn.XLOOKUP(A529, ①オッズ入力!$A$2:$A$19, ①オッズ入力!$D$2:$D$19, 0)), 0)</f>
        <v>4.4662533003795128E-2</v>
      </c>
      <c r="E529">
        <f>IFERROR(IF(_xlfn.XLOOKUP(B529, ①オッズ入力!$A$2:$A$19, ①オッズ入力!$D$2:$D$19, "")="", 0, _xlfn.XLOOKUP(B529, ①オッズ入力!$A$2:$A$19, ①オッズ入力!$D$2:$D$19, 0)), 0)</f>
        <v>9.8701730395127345E-3</v>
      </c>
      <c r="F529">
        <f>IFERROR(IF(_xlfn.XLOOKUP(C529, ①オッズ入力!$A$2:$A$19, ①オッズ入力!$D$2:$D$19, "")="", 0, _xlfn.XLOOKUP(C529, ①オッズ入力!$A$2:$A$19, ①オッズ入力!$D$2:$D$19, 0)), 0)</f>
        <v>9.1615452315477186E-3</v>
      </c>
      <c r="G529">
        <f t="shared" si="16"/>
        <v>247607.13391142295</v>
      </c>
      <c r="H529">
        <f>IF(G529="", 0, IF(OR(A529=③資金配分!$D$1, A529=③資金配分!$D$2, B529=③資金配分!$D$1, B529=③資金配分!$D$2, C529=③資金配分!$D$1, C529=③資金配分!$D$2), 0, IF(OR(A529=③資金配分!$D$4, A529=③資金配分!$D$5, A529=③資金配分!$D$6, B529=③資金配分!$D$4, B529=③資金配分!$D$5, B529=③資金配分!$D$6, C529=③資金配分!$D$4, C529=③資金配分!$D$5, C529=③資金配分!$D$6), 0, IF(AND(③資金配分!$B$8&gt;0, G529&lt;=③資金配分!$B$8), 1, 0))))</f>
        <v>0</v>
      </c>
      <c r="I529">
        <f t="shared" si="17"/>
        <v>0</v>
      </c>
      <c r="J529">
        <f>IF(I529&gt;0, ROUND((I529 / SUM($I$2:$I$817)) * ③資金配分!$B$7, -2), 0)</f>
        <v>0</v>
      </c>
    </row>
    <row r="530" spans="1:10" x14ac:dyDescent="0.4">
      <c r="A530">
        <v>5</v>
      </c>
      <c r="B530">
        <v>16</v>
      </c>
      <c r="C530">
        <v>18</v>
      </c>
      <c r="D530">
        <f>IFERROR(IF(_xlfn.XLOOKUP(A530, ①オッズ入力!$A$2:$A$19, ①オッズ入力!$D$2:$D$19, "")="", 0, _xlfn.XLOOKUP(A530, ①オッズ入力!$A$2:$A$19, ①オッズ入力!$D$2:$D$19, 0)), 0)</f>
        <v>4.4662533003795128E-2</v>
      </c>
      <c r="E530">
        <f>IFERROR(IF(_xlfn.XLOOKUP(B530, ①オッズ入力!$A$2:$A$19, ①オッズ入力!$D$2:$D$19, "")="", 0, _xlfn.XLOOKUP(B530, ①オッズ入力!$A$2:$A$19, ①オッズ入力!$D$2:$D$19, 0)), 0)</f>
        <v>9.8701730395127345E-3</v>
      </c>
      <c r="F530">
        <f>IFERROR(IF(_xlfn.XLOOKUP(C530, ①オッズ入力!$A$2:$A$19, ①オッズ入力!$D$2:$D$19, "")="", 0, _xlfn.XLOOKUP(C530, ①オッズ入力!$A$2:$A$19, ①オッズ入力!$D$2:$D$19, 0)), 0)</f>
        <v>8.5478532064679671E-3</v>
      </c>
      <c r="G530">
        <f t="shared" si="16"/>
        <v>265384.05634608923</v>
      </c>
      <c r="H530">
        <f>IF(G530="", 0, IF(OR(A530=③資金配分!$D$1, A530=③資金配分!$D$2, B530=③資金配分!$D$1, B530=③資金配分!$D$2, C530=③資金配分!$D$1, C530=③資金配分!$D$2), 0, IF(OR(A530=③資金配分!$D$4, A530=③資金配分!$D$5, A530=③資金配分!$D$6, B530=③資金配分!$D$4, B530=③資金配分!$D$5, B530=③資金配分!$D$6, C530=③資金配分!$D$4, C530=③資金配分!$D$5, C530=③資金配分!$D$6), 0, IF(AND(③資金配分!$B$8&gt;0, G530&lt;=③資金配分!$B$8), 1, 0))))</f>
        <v>0</v>
      </c>
      <c r="I530">
        <f t="shared" si="17"/>
        <v>0</v>
      </c>
      <c r="J530">
        <f>IF(I530&gt;0, ROUND((I530 / SUM($I$2:$I$817)) * ③資金配分!$B$7, -2), 0)</f>
        <v>0</v>
      </c>
    </row>
    <row r="531" spans="1:10" x14ac:dyDescent="0.4">
      <c r="A531">
        <v>5</v>
      </c>
      <c r="B531">
        <v>17</v>
      </c>
      <c r="C531">
        <v>18</v>
      </c>
      <c r="D531">
        <f>IFERROR(IF(_xlfn.XLOOKUP(A531, ①オッズ入力!$A$2:$A$19, ①オッズ入力!$D$2:$D$19, "")="", 0, _xlfn.XLOOKUP(A531, ①オッズ入力!$A$2:$A$19, ①オッズ入力!$D$2:$D$19, 0)), 0)</f>
        <v>4.4662533003795128E-2</v>
      </c>
      <c r="E531">
        <f>IFERROR(IF(_xlfn.XLOOKUP(B531, ①オッズ入力!$A$2:$A$19, ①オッズ入力!$D$2:$D$19, "")="", 0, _xlfn.XLOOKUP(B531, ①オッズ入力!$A$2:$A$19, ①オッズ入力!$D$2:$D$19, 0)), 0)</f>
        <v>9.1615452315477186E-3</v>
      </c>
      <c r="F531">
        <f>IFERROR(IF(_xlfn.XLOOKUP(C531, ①オッズ入力!$A$2:$A$19, ①オッズ入力!$D$2:$D$19, "")="", 0, _xlfn.XLOOKUP(C531, ①オッズ入力!$A$2:$A$19, ①オッズ入力!$D$2:$D$19, 0)), 0)</f>
        <v>8.5478532064679671E-3</v>
      </c>
      <c r="G531">
        <f t="shared" si="16"/>
        <v>285910.99993086956</v>
      </c>
      <c r="H531">
        <f>IF(G531="", 0, IF(OR(A531=③資金配分!$D$1, A531=③資金配分!$D$2, B531=③資金配分!$D$1, B531=③資金配分!$D$2, C531=③資金配分!$D$1, C531=③資金配分!$D$2), 0, IF(OR(A531=③資金配分!$D$4, A531=③資金配分!$D$5, A531=③資金配分!$D$6, B531=③資金配分!$D$4, B531=③資金配分!$D$5, B531=③資金配分!$D$6, C531=③資金配分!$D$4, C531=③資金配分!$D$5, C531=③資金配分!$D$6), 0, IF(AND(③資金配分!$B$8&gt;0, G531&lt;=③資金配分!$B$8), 1, 0))))</f>
        <v>0</v>
      </c>
      <c r="I531">
        <f t="shared" si="17"/>
        <v>0</v>
      </c>
      <c r="J531">
        <f>IF(I531&gt;0, ROUND((I531 / SUM($I$2:$I$817)) * ③資金配分!$B$7, -2), 0)</f>
        <v>0</v>
      </c>
    </row>
    <row r="532" spans="1:10" x14ac:dyDescent="0.4">
      <c r="A532">
        <v>6</v>
      </c>
      <c r="B532">
        <v>7</v>
      </c>
      <c r="C532">
        <v>8</v>
      </c>
      <c r="D532">
        <f>IFERROR(IF(_xlfn.XLOOKUP(A532, ①オッズ入力!$A$2:$A$19, ①オッズ入力!$D$2:$D$19, "")="", 0, _xlfn.XLOOKUP(A532, ①オッズ入力!$A$2:$A$19, ①オッズ入力!$D$2:$D$19, 0)), 0)</f>
        <v>3.2481842184578273E-2</v>
      </c>
      <c r="E532">
        <f>IFERROR(IF(_xlfn.XLOOKUP(B532, ①オッズ入力!$A$2:$A$19, ①オッズ入力!$D$2:$D$19, "")="", 0, _xlfn.XLOOKUP(B532, ①オッズ入力!$A$2:$A$19, ①オッズ入力!$D$2:$D$19, 0)), 0)</f>
        <v>2.9775022002530085E-2</v>
      </c>
      <c r="F532">
        <f>IFERROR(IF(_xlfn.XLOOKUP(C532, ①オッズ入力!$A$2:$A$19, ①オッズ入力!$D$2:$D$19, "")="", 0, _xlfn.XLOOKUP(C532, ①オッズ入力!$A$2:$A$19, ①オッズ入力!$D$2:$D$19, 0)), 0)</f>
        <v>2.3820017602024068E-2</v>
      </c>
      <c r="G532">
        <f t="shared" si="16"/>
        <v>43407.540475334448</v>
      </c>
      <c r="H532">
        <f>IF(G532="", 0, IF(OR(A532=③資金配分!$D$1, A532=③資金配分!$D$2, B532=③資金配分!$D$1, B532=③資金配分!$D$2, C532=③資金配分!$D$1, C532=③資金配分!$D$2), 0, IF(OR(A532=③資金配分!$D$4, A532=③資金配分!$D$5, A532=③資金配分!$D$6, B532=③資金配分!$D$4, B532=③資金配分!$D$5, B532=③資金配分!$D$6, C532=③資金配分!$D$4, C532=③資金配分!$D$5, C532=③資金配分!$D$6), 0, IF(AND(③資金配分!$B$8&gt;0, G532&lt;=③資金配分!$B$8), 1, 0))))</f>
        <v>0</v>
      </c>
      <c r="I532">
        <f t="shared" si="17"/>
        <v>0</v>
      </c>
      <c r="J532">
        <f>IF(I532&gt;0, ROUND((I532 / SUM($I$2:$I$817)) * ③資金配分!$B$7, -2), 0)</f>
        <v>0</v>
      </c>
    </row>
    <row r="533" spans="1:10" x14ac:dyDescent="0.4">
      <c r="A533">
        <v>6</v>
      </c>
      <c r="B533">
        <v>7</v>
      </c>
      <c r="C533">
        <v>9</v>
      </c>
      <c r="D533">
        <f>IFERROR(IF(_xlfn.XLOOKUP(A533, ①オッズ入力!$A$2:$A$19, ①オッズ入力!$D$2:$D$19, "")="", 0, _xlfn.XLOOKUP(A533, ①オッズ入力!$A$2:$A$19, ①オッズ入力!$D$2:$D$19, 0)), 0)</f>
        <v>3.2481842184578273E-2</v>
      </c>
      <c r="E533">
        <f>IFERROR(IF(_xlfn.XLOOKUP(B533, ①オッズ入力!$A$2:$A$19, ①オッズ入力!$D$2:$D$19, "")="", 0, _xlfn.XLOOKUP(B533, ①オッズ入力!$A$2:$A$19, ①オッズ入力!$D$2:$D$19, 0)), 0)</f>
        <v>2.9775022002530085E-2</v>
      </c>
      <c r="F533">
        <f>IFERROR(IF(_xlfn.XLOOKUP(C533, ①オッズ入力!$A$2:$A$19, ①オッズ入力!$D$2:$D$19, "")="", 0, _xlfn.XLOOKUP(C533, ①オッズ入力!$A$2:$A$19, ①オッズ入力!$D$2:$D$19, 0)), 0)</f>
        <v>1.9850014668353389E-2</v>
      </c>
      <c r="G533">
        <f t="shared" si="16"/>
        <v>52089.048570401341</v>
      </c>
      <c r="H533">
        <f>IF(G533="", 0, IF(OR(A533=③資金配分!$D$1, A533=③資金配分!$D$2, B533=③資金配分!$D$1, B533=③資金配分!$D$2, C533=③資金配分!$D$1, C533=③資金配分!$D$2), 0, IF(OR(A533=③資金配分!$D$4, A533=③資金配分!$D$5, A533=③資金配分!$D$6, B533=③資金配分!$D$4, B533=③資金配分!$D$5, B533=③資金配分!$D$6, C533=③資金配分!$D$4, C533=③資金配分!$D$5, C533=③資金配分!$D$6), 0, IF(AND(③資金配分!$B$8&gt;0, G533&lt;=③資金配分!$B$8), 1, 0))))</f>
        <v>0</v>
      </c>
      <c r="I533">
        <f t="shared" si="17"/>
        <v>0</v>
      </c>
      <c r="J533">
        <f>IF(I533&gt;0, ROUND((I533 / SUM($I$2:$I$817)) * ③資金配分!$B$7, -2), 0)</f>
        <v>0</v>
      </c>
    </row>
    <row r="534" spans="1:10" x14ac:dyDescent="0.4">
      <c r="A534">
        <v>6</v>
      </c>
      <c r="B534">
        <v>7</v>
      </c>
      <c r="C534">
        <v>10</v>
      </c>
      <c r="D534">
        <f>IFERROR(IF(_xlfn.XLOOKUP(A534, ①オッズ入力!$A$2:$A$19, ①オッズ入力!$D$2:$D$19, "")="", 0, _xlfn.XLOOKUP(A534, ①オッズ入力!$A$2:$A$19, ①オッズ入力!$D$2:$D$19, 0)), 0)</f>
        <v>3.2481842184578273E-2</v>
      </c>
      <c r="E534">
        <f>IFERROR(IF(_xlfn.XLOOKUP(B534, ①オッズ入力!$A$2:$A$19, ①オッズ入力!$D$2:$D$19, "")="", 0, _xlfn.XLOOKUP(B534, ①オッズ入力!$A$2:$A$19, ①オッズ入力!$D$2:$D$19, 0)), 0)</f>
        <v>2.9775022002530085E-2</v>
      </c>
      <c r="F534">
        <f>IFERROR(IF(_xlfn.XLOOKUP(C534, ①オッズ入力!$A$2:$A$19, ①オッズ入力!$D$2:$D$19, "")="", 0, _xlfn.XLOOKUP(C534, ①オッズ入力!$A$2:$A$19, ①オッズ入力!$D$2:$D$19, 0)), 0)</f>
        <v>1.7865013201518051E-2</v>
      </c>
      <c r="G534">
        <f t="shared" si="16"/>
        <v>57876.720633779267</v>
      </c>
      <c r="H534">
        <f>IF(G534="", 0, IF(OR(A534=③資金配分!$D$1, A534=③資金配分!$D$2, B534=③資金配分!$D$1, B534=③資金配分!$D$2, C534=③資金配分!$D$1, C534=③資金配分!$D$2), 0, IF(OR(A534=③資金配分!$D$4, A534=③資金配分!$D$5, A534=③資金配分!$D$6, B534=③資金配分!$D$4, B534=③資金配分!$D$5, B534=③資金配分!$D$6, C534=③資金配分!$D$4, C534=③資金配分!$D$5, C534=③資金配分!$D$6), 0, IF(AND(③資金配分!$B$8&gt;0, G534&lt;=③資金配分!$B$8), 1, 0))))</f>
        <v>0</v>
      </c>
      <c r="I534">
        <f t="shared" si="17"/>
        <v>0</v>
      </c>
      <c r="J534">
        <f>IF(I534&gt;0, ROUND((I534 / SUM($I$2:$I$817)) * ③資金配分!$B$7, -2), 0)</f>
        <v>0</v>
      </c>
    </row>
    <row r="535" spans="1:10" x14ac:dyDescent="0.4">
      <c r="A535">
        <v>6</v>
      </c>
      <c r="B535">
        <v>7</v>
      </c>
      <c r="C535">
        <v>11</v>
      </c>
      <c r="D535">
        <f>IFERROR(IF(_xlfn.XLOOKUP(A535, ①オッズ入力!$A$2:$A$19, ①オッズ入力!$D$2:$D$19, "")="", 0, _xlfn.XLOOKUP(A535, ①オッズ入力!$A$2:$A$19, ①オッズ入力!$D$2:$D$19, 0)), 0)</f>
        <v>3.2481842184578273E-2</v>
      </c>
      <c r="E535">
        <f>IFERROR(IF(_xlfn.XLOOKUP(B535, ①オッズ入力!$A$2:$A$19, ①オッズ入力!$D$2:$D$19, "")="", 0, _xlfn.XLOOKUP(B535, ①オッズ入力!$A$2:$A$19, ①オッズ入力!$D$2:$D$19, 0)), 0)</f>
        <v>2.9775022002530085E-2</v>
      </c>
      <c r="F535">
        <f>IFERROR(IF(_xlfn.XLOOKUP(C535, ①オッズ入力!$A$2:$A$19, ①オッズ入力!$D$2:$D$19, "")="", 0, _xlfn.XLOOKUP(C535, ①オッズ入力!$A$2:$A$19, ①オッズ入力!$D$2:$D$19, 0)), 0)</f>
        <v>1.6240921092289137E-2</v>
      </c>
      <c r="G535">
        <f t="shared" si="16"/>
        <v>63664.3926971572</v>
      </c>
      <c r="H535">
        <f>IF(G535="", 0, IF(OR(A535=③資金配分!$D$1, A535=③資金配分!$D$2, B535=③資金配分!$D$1, B535=③資金配分!$D$2, C535=③資金配分!$D$1, C535=③資金配分!$D$2), 0, IF(OR(A535=③資金配分!$D$4, A535=③資金配分!$D$5, A535=③資金配分!$D$6, B535=③資金配分!$D$4, B535=③資金配分!$D$5, B535=③資金配分!$D$6, C535=③資金配分!$D$4, C535=③資金配分!$D$5, C535=③資金配分!$D$6), 0, IF(AND(③資金配分!$B$8&gt;0, G535&lt;=③資金配分!$B$8), 1, 0))))</f>
        <v>0</v>
      </c>
      <c r="I535">
        <f t="shared" si="17"/>
        <v>0</v>
      </c>
      <c r="J535">
        <f>IF(I535&gt;0, ROUND((I535 / SUM($I$2:$I$817)) * ③資金配分!$B$7, -2), 0)</f>
        <v>0</v>
      </c>
    </row>
    <row r="536" spans="1:10" x14ac:dyDescent="0.4">
      <c r="A536">
        <v>6</v>
      </c>
      <c r="B536">
        <v>7</v>
      </c>
      <c r="C536">
        <v>12</v>
      </c>
      <c r="D536">
        <f>IFERROR(IF(_xlfn.XLOOKUP(A536, ①オッズ入力!$A$2:$A$19, ①オッズ入力!$D$2:$D$19, "")="", 0, _xlfn.XLOOKUP(A536, ①オッズ入力!$A$2:$A$19, ①オッズ入力!$D$2:$D$19, 0)), 0)</f>
        <v>3.2481842184578273E-2</v>
      </c>
      <c r="E536">
        <f>IFERROR(IF(_xlfn.XLOOKUP(B536, ①オッズ入力!$A$2:$A$19, ①オッズ入力!$D$2:$D$19, "")="", 0, _xlfn.XLOOKUP(B536, ①オッズ入力!$A$2:$A$19, ①オッズ入力!$D$2:$D$19, 0)), 0)</f>
        <v>2.9775022002530085E-2</v>
      </c>
      <c r="F536">
        <f>IFERROR(IF(_xlfn.XLOOKUP(C536, ①オッズ入力!$A$2:$A$19, ①オッズ入力!$D$2:$D$19, "")="", 0, _xlfn.XLOOKUP(C536, ①オッズ入力!$A$2:$A$19, ①オッズ入力!$D$2:$D$19, 0)), 0)</f>
        <v>1.4887511001265043E-2</v>
      </c>
      <c r="G536">
        <f t="shared" si="16"/>
        <v>69452.064760535126</v>
      </c>
      <c r="H536">
        <f>IF(G536="", 0, IF(OR(A536=③資金配分!$D$1, A536=③資金配分!$D$2, B536=③資金配分!$D$1, B536=③資金配分!$D$2, C536=③資金配分!$D$1, C536=③資金配分!$D$2), 0, IF(OR(A536=③資金配分!$D$4, A536=③資金配分!$D$5, A536=③資金配分!$D$6, B536=③資金配分!$D$4, B536=③資金配分!$D$5, B536=③資金配分!$D$6, C536=③資金配分!$D$4, C536=③資金配分!$D$5, C536=③資金配分!$D$6), 0, IF(AND(③資金配分!$B$8&gt;0, G536&lt;=③資金配分!$B$8), 1, 0))))</f>
        <v>0</v>
      </c>
      <c r="I536">
        <f t="shared" si="17"/>
        <v>0</v>
      </c>
      <c r="J536">
        <f>IF(I536&gt;0, ROUND((I536 / SUM($I$2:$I$817)) * ③資金配分!$B$7, -2), 0)</f>
        <v>0</v>
      </c>
    </row>
    <row r="537" spans="1:10" x14ac:dyDescent="0.4">
      <c r="A537">
        <v>6</v>
      </c>
      <c r="B537">
        <v>7</v>
      </c>
      <c r="C537">
        <v>13</v>
      </c>
      <c r="D537">
        <f>IFERROR(IF(_xlfn.XLOOKUP(A537, ①オッズ入力!$A$2:$A$19, ①オッズ入力!$D$2:$D$19, "")="", 0, _xlfn.XLOOKUP(A537, ①オッズ入力!$A$2:$A$19, ①オッズ入力!$D$2:$D$19, 0)), 0)</f>
        <v>3.2481842184578273E-2</v>
      </c>
      <c r="E537">
        <f>IFERROR(IF(_xlfn.XLOOKUP(B537, ①オッズ入力!$A$2:$A$19, ①オッズ入力!$D$2:$D$19, "")="", 0, _xlfn.XLOOKUP(B537, ①オッズ入力!$A$2:$A$19, ①オッズ入力!$D$2:$D$19, 0)), 0)</f>
        <v>2.9775022002530085E-2</v>
      </c>
      <c r="F537">
        <f>IFERROR(IF(_xlfn.XLOOKUP(C537, ①オッズ入力!$A$2:$A$19, ①オッズ入力!$D$2:$D$19, "")="", 0, _xlfn.XLOOKUP(C537, ①オッズ入力!$A$2:$A$19, ①オッズ入力!$D$2:$D$19, 0)), 0)</f>
        <v>1.2760723715370036E-2</v>
      </c>
      <c r="G537">
        <f t="shared" si="16"/>
        <v>81027.408887290978</v>
      </c>
      <c r="H537">
        <f>IF(G537="", 0, IF(OR(A537=③資金配分!$D$1, A537=③資金配分!$D$2, B537=③資金配分!$D$1, B537=③資金配分!$D$2, C537=③資金配分!$D$1, C537=③資金配分!$D$2), 0, IF(OR(A537=③資金配分!$D$4, A537=③資金配分!$D$5, A537=③資金配分!$D$6, B537=③資金配分!$D$4, B537=③資金配分!$D$5, B537=③資金配分!$D$6, C537=③資金配分!$D$4, C537=③資金配分!$D$5, C537=③資金配分!$D$6), 0, IF(AND(③資金配分!$B$8&gt;0, G537&lt;=③資金配分!$B$8), 1, 0))))</f>
        <v>0</v>
      </c>
      <c r="I537">
        <f t="shared" si="17"/>
        <v>0</v>
      </c>
      <c r="J537">
        <f>IF(I537&gt;0, ROUND((I537 / SUM($I$2:$I$817)) * ③資金配分!$B$7, -2), 0)</f>
        <v>0</v>
      </c>
    </row>
    <row r="538" spans="1:10" x14ac:dyDescent="0.4">
      <c r="A538">
        <v>6</v>
      </c>
      <c r="B538">
        <v>7</v>
      </c>
      <c r="C538">
        <v>14</v>
      </c>
      <c r="D538">
        <f>IFERROR(IF(_xlfn.XLOOKUP(A538, ①オッズ入力!$A$2:$A$19, ①オッズ入力!$D$2:$D$19, "")="", 0, _xlfn.XLOOKUP(A538, ①オッズ入力!$A$2:$A$19, ①オッズ入力!$D$2:$D$19, 0)), 0)</f>
        <v>3.2481842184578273E-2</v>
      </c>
      <c r="E538">
        <f>IFERROR(IF(_xlfn.XLOOKUP(B538, ①オッズ入力!$A$2:$A$19, ①オッズ入力!$D$2:$D$19, "")="", 0, _xlfn.XLOOKUP(B538, ①オッズ入力!$A$2:$A$19, ①オッズ入力!$D$2:$D$19, 0)), 0)</f>
        <v>2.9775022002530085E-2</v>
      </c>
      <c r="F538">
        <f>IFERROR(IF(_xlfn.XLOOKUP(C538, ①オッズ入力!$A$2:$A$19, ①オッズ入力!$D$2:$D$19, "")="", 0, _xlfn.XLOOKUP(C538, ①オッズ入力!$A$2:$A$19, ①オッズ入力!$D$2:$D$19, 0)), 0)</f>
        <v>1.1525814968721322E-2</v>
      </c>
      <c r="G538">
        <f t="shared" si="16"/>
        <v>89708.91698235787</v>
      </c>
      <c r="H538">
        <f>IF(G538="", 0, IF(OR(A538=③資金配分!$D$1, A538=③資金配分!$D$2, B538=③資金配分!$D$1, B538=③資金配分!$D$2, C538=③資金配分!$D$1, C538=③資金配分!$D$2), 0, IF(OR(A538=③資金配分!$D$4, A538=③資金配分!$D$5, A538=③資金配分!$D$6, B538=③資金配分!$D$4, B538=③資金配分!$D$5, B538=③資金配分!$D$6, C538=③資金配分!$D$4, C538=③資金配分!$D$5, C538=③資金配分!$D$6), 0, IF(AND(③資金配分!$B$8&gt;0, G538&lt;=③資金配分!$B$8), 1, 0))))</f>
        <v>0</v>
      </c>
      <c r="I538">
        <f t="shared" si="17"/>
        <v>0</v>
      </c>
      <c r="J538">
        <f>IF(I538&gt;0, ROUND((I538 / SUM($I$2:$I$817)) * ③資金配分!$B$7, -2), 0)</f>
        <v>0</v>
      </c>
    </row>
    <row r="539" spans="1:10" x14ac:dyDescent="0.4">
      <c r="A539">
        <v>6</v>
      </c>
      <c r="B539">
        <v>7</v>
      </c>
      <c r="C539">
        <v>15</v>
      </c>
      <c r="D539">
        <f>IFERROR(IF(_xlfn.XLOOKUP(A539, ①オッズ入力!$A$2:$A$19, ①オッズ入力!$D$2:$D$19, "")="", 0, _xlfn.XLOOKUP(A539, ①オッズ入力!$A$2:$A$19, ①オッズ入力!$D$2:$D$19, 0)), 0)</f>
        <v>3.2481842184578273E-2</v>
      </c>
      <c r="E539">
        <f>IFERROR(IF(_xlfn.XLOOKUP(B539, ①オッズ入力!$A$2:$A$19, ①オッズ入力!$D$2:$D$19, "")="", 0, _xlfn.XLOOKUP(B539, ①オッズ入力!$A$2:$A$19, ①オッズ入力!$D$2:$D$19, 0)), 0)</f>
        <v>2.9775022002530085E-2</v>
      </c>
      <c r="F539">
        <f>IFERROR(IF(_xlfn.XLOOKUP(C539, ①オッズ入力!$A$2:$A$19, ①オッズ入力!$D$2:$D$19, "")="", 0, _xlfn.XLOOKUP(C539, ①オッズ入力!$A$2:$A$19, ①オッズ入力!$D$2:$D$19, 0)), 0)</f>
        <v>1.0697612695519792E-2</v>
      </c>
      <c r="G539">
        <f t="shared" si="16"/>
        <v>96654.123458411384</v>
      </c>
      <c r="H539">
        <f>IF(G539="", 0, IF(OR(A539=③資金配分!$D$1, A539=③資金配分!$D$2, B539=③資金配分!$D$1, B539=③資金配分!$D$2, C539=③資金配分!$D$1, C539=③資金配分!$D$2), 0, IF(OR(A539=③資金配分!$D$4, A539=③資金配分!$D$5, A539=③資金配分!$D$6, B539=③資金配分!$D$4, B539=③資金配分!$D$5, B539=③資金配分!$D$6, C539=③資金配分!$D$4, C539=③資金配分!$D$5, C539=③資金配分!$D$6), 0, IF(AND(③資金配分!$B$8&gt;0, G539&lt;=③資金配分!$B$8), 1, 0))))</f>
        <v>0</v>
      </c>
      <c r="I539">
        <f t="shared" si="17"/>
        <v>0</v>
      </c>
      <c r="J539">
        <f>IF(I539&gt;0, ROUND((I539 / SUM($I$2:$I$817)) * ③資金配分!$B$7, -2), 0)</f>
        <v>0</v>
      </c>
    </row>
    <row r="540" spans="1:10" x14ac:dyDescent="0.4">
      <c r="A540">
        <v>6</v>
      </c>
      <c r="B540">
        <v>7</v>
      </c>
      <c r="C540">
        <v>16</v>
      </c>
      <c r="D540">
        <f>IFERROR(IF(_xlfn.XLOOKUP(A540, ①オッズ入力!$A$2:$A$19, ①オッズ入力!$D$2:$D$19, "")="", 0, _xlfn.XLOOKUP(A540, ①オッズ入力!$A$2:$A$19, ①オッズ入力!$D$2:$D$19, 0)), 0)</f>
        <v>3.2481842184578273E-2</v>
      </c>
      <c r="E540">
        <f>IFERROR(IF(_xlfn.XLOOKUP(B540, ①オッズ入力!$A$2:$A$19, ①オッズ入力!$D$2:$D$19, "")="", 0, _xlfn.XLOOKUP(B540, ①オッズ入力!$A$2:$A$19, ①オッズ入力!$D$2:$D$19, 0)), 0)</f>
        <v>2.9775022002530085E-2</v>
      </c>
      <c r="F540">
        <f>IFERROR(IF(_xlfn.XLOOKUP(C540, ①オッズ入力!$A$2:$A$19, ①オッズ入力!$D$2:$D$19, "")="", 0, _xlfn.XLOOKUP(C540, ①オッズ入力!$A$2:$A$19, ①オッズ入力!$D$2:$D$19, 0)), 0)</f>
        <v>9.8701730395127345E-3</v>
      </c>
      <c r="G540">
        <f t="shared" si="16"/>
        <v>104756.86434714049</v>
      </c>
      <c r="H540">
        <f>IF(G540="", 0, IF(OR(A540=③資金配分!$D$1, A540=③資金配分!$D$2, B540=③資金配分!$D$1, B540=③資金配分!$D$2, C540=③資金配分!$D$1, C540=③資金配分!$D$2), 0, IF(OR(A540=③資金配分!$D$4, A540=③資金配分!$D$5, A540=③資金配分!$D$6, B540=③資金配分!$D$4, B540=③資金配分!$D$5, B540=③資金配分!$D$6, C540=③資金配分!$D$4, C540=③資金配分!$D$5, C540=③資金配分!$D$6), 0, IF(AND(③資金配分!$B$8&gt;0, G540&lt;=③資金配分!$B$8), 1, 0))))</f>
        <v>0</v>
      </c>
      <c r="I540">
        <f t="shared" si="17"/>
        <v>0</v>
      </c>
      <c r="J540">
        <f>IF(I540&gt;0, ROUND((I540 / SUM($I$2:$I$817)) * ③資金配分!$B$7, -2), 0)</f>
        <v>0</v>
      </c>
    </row>
    <row r="541" spans="1:10" x14ac:dyDescent="0.4">
      <c r="A541">
        <v>6</v>
      </c>
      <c r="B541">
        <v>7</v>
      </c>
      <c r="C541">
        <v>17</v>
      </c>
      <c r="D541">
        <f>IFERROR(IF(_xlfn.XLOOKUP(A541, ①オッズ入力!$A$2:$A$19, ①オッズ入力!$D$2:$D$19, "")="", 0, _xlfn.XLOOKUP(A541, ①オッズ入力!$A$2:$A$19, ①オッズ入力!$D$2:$D$19, 0)), 0)</f>
        <v>3.2481842184578273E-2</v>
      </c>
      <c r="E541">
        <f>IFERROR(IF(_xlfn.XLOOKUP(B541, ①オッズ入力!$A$2:$A$19, ①オッズ入力!$D$2:$D$19, "")="", 0, _xlfn.XLOOKUP(B541, ①オッズ入力!$A$2:$A$19, ①オッズ入力!$D$2:$D$19, 0)), 0)</f>
        <v>2.9775022002530085E-2</v>
      </c>
      <c r="F541">
        <f>IFERROR(IF(_xlfn.XLOOKUP(C541, ①オッズ入力!$A$2:$A$19, ①オッズ入力!$D$2:$D$19, "")="", 0, _xlfn.XLOOKUP(C541, ①オッズ入力!$A$2:$A$19, ①オッズ入力!$D$2:$D$19, 0)), 0)</f>
        <v>9.1615452315477186E-3</v>
      </c>
      <c r="G541">
        <f t="shared" si="16"/>
        <v>112859.60523586956</v>
      </c>
      <c r="H541">
        <f>IF(G541="", 0, IF(OR(A541=③資金配分!$D$1, A541=③資金配分!$D$2, B541=③資金配分!$D$1, B541=③資金配分!$D$2, C541=③資金配分!$D$1, C541=③資金配分!$D$2), 0, IF(OR(A541=③資金配分!$D$4, A541=③資金配分!$D$5, A541=③資金配分!$D$6, B541=③資金配分!$D$4, B541=③資金配分!$D$5, B541=③資金配分!$D$6, C541=③資金配分!$D$4, C541=③資金配分!$D$5, C541=③資金配分!$D$6), 0, IF(AND(③資金配分!$B$8&gt;0, G541&lt;=③資金配分!$B$8), 1, 0))))</f>
        <v>0</v>
      </c>
      <c r="I541">
        <f t="shared" si="17"/>
        <v>0</v>
      </c>
      <c r="J541">
        <f>IF(I541&gt;0, ROUND((I541 / SUM($I$2:$I$817)) * ③資金配分!$B$7, -2), 0)</f>
        <v>0</v>
      </c>
    </row>
    <row r="542" spans="1:10" x14ac:dyDescent="0.4">
      <c r="A542">
        <v>6</v>
      </c>
      <c r="B542">
        <v>7</v>
      </c>
      <c r="C542">
        <v>18</v>
      </c>
      <c r="D542">
        <f>IFERROR(IF(_xlfn.XLOOKUP(A542, ①オッズ入力!$A$2:$A$19, ①オッズ入力!$D$2:$D$19, "")="", 0, _xlfn.XLOOKUP(A542, ①オッズ入力!$A$2:$A$19, ①オッズ入力!$D$2:$D$19, 0)), 0)</f>
        <v>3.2481842184578273E-2</v>
      </c>
      <c r="E542">
        <f>IFERROR(IF(_xlfn.XLOOKUP(B542, ①オッズ入力!$A$2:$A$19, ①オッズ入力!$D$2:$D$19, "")="", 0, _xlfn.XLOOKUP(B542, ①オッズ入力!$A$2:$A$19, ①オッズ入力!$D$2:$D$19, 0)), 0)</f>
        <v>2.9775022002530085E-2</v>
      </c>
      <c r="F542">
        <f>IFERROR(IF(_xlfn.XLOOKUP(C542, ①オッズ入力!$A$2:$A$19, ①オッズ入力!$D$2:$D$19, "")="", 0, _xlfn.XLOOKUP(C542, ①オッズ入力!$A$2:$A$19, ①オッズ入力!$D$2:$D$19, 0)), 0)</f>
        <v>8.5478532064679671E-3</v>
      </c>
      <c r="G542">
        <f t="shared" si="16"/>
        <v>120962.34612459868</v>
      </c>
      <c r="H542">
        <f>IF(G542="", 0, IF(OR(A542=③資金配分!$D$1, A542=③資金配分!$D$2, B542=③資金配分!$D$1, B542=③資金配分!$D$2, C542=③資金配分!$D$1, C542=③資金配分!$D$2), 0, IF(OR(A542=③資金配分!$D$4, A542=③資金配分!$D$5, A542=③資金配分!$D$6, B542=③資金配分!$D$4, B542=③資金配分!$D$5, B542=③資金配分!$D$6, C542=③資金配分!$D$4, C542=③資金配分!$D$5, C542=③資金配分!$D$6), 0, IF(AND(③資金配分!$B$8&gt;0, G542&lt;=③資金配分!$B$8), 1, 0))))</f>
        <v>0</v>
      </c>
      <c r="I542">
        <f t="shared" si="17"/>
        <v>0</v>
      </c>
      <c r="J542">
        <f>IF(I542&gt;0, ROUND((I542 / SUM($I$2:$I$817)) * ③資金配分!$B$7, -2), 0)</f>
        <v>0</v>
      </c>
    </row>
    <row r="543" spans="1:10" x14ac:dyDescent="0.4">
      <c r="A543">
        <v>6</v>
      </c>
      <c r="B543">
        <v>8</v>
      </c>
      <c r="C543">
        <v>9</v>
      </c>
      <c r="D543">
        <f>IFERROR(IF(_xlfn.XLOOKUP(A543, ①オッズ入力!$A$2:$A$19, ①オッズ入力!$D$2:$D$19, "")="", 0, _xlfn.XLOOKUP(A543, ①オッズ入力!$A$2:$A$19, ①オッズ入力!$D$2:$D$19, 0)), 0)</f>
        <v>3.2481842184578273E-2</v>
      </c>
      <c r="E543">
        <f>IFERROR(IF(_xlfn.XLOOKUP(B543, ①オッズ入力!$A$2:$A$19, ①オッズ入力!$D$2:$D$19, "")="", 0, _xlfn.XLOOKUP(B543, ①オッズ入力!$A$2:$A$19, ①オッズ入力!$D$2:$D$19, 0)), 0)</f>
        <v>2.3820017602024068E-2</v>
      </c>
      <c r="F543">
        <f>IFERROR(IF(_xlfn.XLOOKUP(C543, ①オッズ入力!$A$2:$A$19, ①オッズ入力!$D$2:$D$19, "")="", 0, _xlfn.XLOOKUP(C543, ①オッズ入力!$A$2:$A$19, ①オッズ入力!$D$2:$D$19, 0)), 0)</f>
        <v>1.9850014668353389E-2</v>
      </c>
      <c r="G543">
        <f t="shared" si="16"/>
        <v>65111.31071300168</v>
      </c>
      <c r="H543">
        <f>IF(G543="", 0, IF(OR(A543=③資金配分!$D$1, A543=③資金配分!$D$2, B543=③資金配分!$D$1, B543=③資金配分!$D$2, C543=③資金配分!$D$1, C543=③資金配分!$D$2), 0, IF(OR(A543=③資金配分!$D$4, A543=③資金配分!$D$5, A543=③資金配分!$D$6, B543=③資金配分!$D$4, B543=③資金配分!$D$5, B543=③資金配分!$D$6, C543=③資金配分!$D$4, C543=③資金配分!$D$5, C543=③資金配分!$D$6), 0, IF(AND(③資金配分!$B$8&gt;0, G543&lt;=③資金配分!$B$8), 1, 0))))</f>
        <v>0</v>
      </c>
      <c r="I543">
        <f t="shared" si="17"/>
        <v>0</v>
      </c>
      <c r="J543">
        <f>IF(I543&gt;0, ROUND((I543 / SUM($I$2:$I$817)) * ③資金配分!$B$7, -2), 0)</f>
        <v>0</v>
      </c>
    </row>
    <row r="544" spans="1:10" x14ac:dyDescent="0.4">
      <c r="A544">
        <v>6</v>
      </c>
      <c r="B544">
        <v>8</v>
      </c>
      <c r="C544">
        <v>10</v>
      </c>
      <c r="D544">
        <f>IFERROR(IF(_xlfn.XLOOKUP(A544, ①オッズ入力!$A$2:$A$19, ①オッズ入力!$D$2:$D$19, "")="", 0, _xlfn.XLOOKUP(A544, ①オッズ入力!$A$2:$A$19, ①オッズ入力!$D$2:$D$19, 0)), 0)</f>
        <v>3.2481842184578273E-2</v>
      </c>
      <c r="E544">
        <f>IFERROR(IF(_xlfn.XLOOKUP(B544, ①オッズ入力!$A$2:$A$19, ①オッズ入力!$D$2:$D$19, "")="", 0, _xlfn.XLOOKUP(B544, ①オッズ入力!$A$2:$A$19, ①オッズ入力!$D$2:$D$19, 0)), 0)</f>
        <v>2.3820017602024068E-2</v>
      </c>
      <c r="F544">
        <f>IFERROR(IF(_xlfn.XLOOKUP(C544, ①オッズ入力!$A$2:$A$19, ①オッズ入力!$D$2:$D$19, "")="", 0, _xlfn.XLOOKUP(C544, ①オッズ入力!$A$2:$A$19, ①オッズ入力!$D$2:$D$19, 0)), 0)</f>
        <v>1.7865013201518051E-2</v>
      </c>
      <c r="G544">
        <f t="shared" si="16"/>
        <v>72345.900792224085</v>
      </c>
      <c r="H544">
        <f>IF(G544="", 0, IF(OR(A544=③資金配分!$D$1, A544=③資金配分!$D$2, B544=③資金配分!$D$1, B544=③資金配分!$D$2, C544=③資金配分!$D$1, C544=③資金配分!$D$2), 0, IF(OR(A544=③資金配分!$D$4, A544=③資金配分!$D$5, A544=③資金配分!$D$6, B544=③資金配分!$D$4, B544=③資金配分!$D$5, B544=③資金配分!$D$6, C544=③資金配分!$D$4, C544=③資金配分!$D$5, C544=③資金配分!$D$6), 0, IF(AND(③資金配分!$B$8&gt;0, G544&lt;=③資金配分!$B$8), 1, 0))))</f>
        <v>0</v>
      </c>
      <c r="I544">
        <f t="shared" si="17"/>
        <v>0</v>
      </c>
      <c r="J544">
        <f>IF(I544&gt;0, ROUND((I544 / SUM($I$2:$I$817)) * ③資金配分!$B$7, -2), 0)</f>
        <v>0</v>
      </c>
    </row>
    <row r="545" spans="1:10" x14ac:dyDescent="0.4">
      <c r="A545">
        <v>6</v>
      </c>
      <c r="B545">
        <v>8</v>
      </c>
      <c r="C545">
        <v>11</v>
      </c>
      <c r="D545">
        <f>IFERROR(IF(_xlfn.XLOOKUP(A545, ①オッズ入力!$A$2:$A$19, ①オッズ入力!$D$2:$D$19, "")="", 0, _xlfn.XLOOKUP(A545, ①オッズ入力!$A$2:$A$19, ①オッズ入力!$D$2:$D$19, 0)), 0)</f>
        <v>3.2481842184578273E-2</v>
      </c>
      <c r="E545">
        <f>IFERROR(IF(_xlfn.XLOOKUP(B545, ①オッズ入力!$A$2:$A$19, ①オッズ入力!$D$2:$D$19, "")="", 0, _xlfn.XLOOKUP(B545, ①オッズ入力!$A$2:$A$19, ①オッズ入力!$D$2:$D$19, 0)), 0)</f>
        <v>2.3820017602024068E-2</v>
      </c>
      <c r="F545">
        <f>IFERROR(IF(_xlfn.XLOOKUP(C545, ①オッズ入力!$A$2:$A$19, ①オッズ入力!$D$2:$D$19, "")="", 0, _xlfn.XLOOKUP(C545, ①オッズ入力!$A$2:$A$19, ①オッズ入力!$D$2:$D$19, 0)), 0)</f>
        <v>1.6240921092289137E-2</v>
      </c>
      <c r="G545">
        <f t="shared" si="16"/>
        <v>79580.490871446498</v>
      </c>
      <c r="H545">
        <f>IF(G545="", 0, IF(OR(A545=③資金配分!$D$1, A545=③資金配分!$D$2, B545=③資金配分!$D$1, B545=③資金配分!$D$2, C545=③資金配分!$D$1, C545=③資金配分!$D$2), 0, IF(OR(A545=③資金配分!$D$4, A545=③資金配分!$D$5, A545=③資金配分!$D$6, B545=③資金配分!$D$4, B545=③資金配分!$D$5, B545=③資金配分!$D$6, C545=③資金配分!$D$4, C545=③資金配分!$D$5, C545=③資金配分!$D$6), 0, IF(AND(③資金配分!$B$8&gt;0, G545&lt;=③資金配分!$B$8), 1, 0))))</f>
        <v>0</v>
      </c>
      <c r="I545">
        <f t="shared" si="17"/>
        <v>0</v>
      </c>
      <c r="J545">
        <f>IF(I545&gt;0, ROUND((I545 / SUM($I$2:$I$817)) * ③資金配分!$B$7, -2), 0)</f>
        <v>0</v>
      </c>
    </row>
    <row r="546" spans="1:10" x14ac:dyDescent="0.4">
      <c r="A546">
        <v>6</v>
      </c>
      <c r="B546">
        <v>8</v>
      </c>
      <c r="C546">
        <v>12</v>
      </c>
      <c r="D546">
        <f>IFERROR(IF(_xlfn.XLOOKUP(A546, ①オッズ入力!$A$2:$A$19, ①オッズ入力!$D$2:$D$19, "")="", 0, _xlfn.XLOOKUP(A546, ①オッズ入力!$A$2:$A$19, ①オッズ入力!$D$2:$D$19, 0)), 0)</f>
        <v>3.2481842184578273E-2</v>
      </c>
      <c r="E546">
        <f>IFERROR(IF(_xlfn.XLOOKUP(B546, ①オッズ入力!$A$2:$A$19, ①オッズ入力!$D$2:$D$19, "")="", 0, _xlfn.XLOOKUP(B546, ①オッズ入力!$A$2:$A$19, ①オッズ入力!$D$2:$D$19, 0)), 0)</f>
        <v>2.3820017602024068E-2</v>
      </c>
      <c r="F546">
        <f>IFERROR(IF(_xlfn.XLOOKUP(C546, ①オッズ入力!$A$2:$A$19, ①オッズ入力!$D$2:$D$19, "")="", 0, _xlfn.XLOOKUP(C546, ①オッズ入力!$A$2:$A$19, ①オッズ入力!$D$2:$D$19, 0)), 0)</f>
        <v>1.4887511001265043E-2</v>
      </c>
      <c r="G546">
        <f t="shared" si="16"/>
        <v>86815.080950668897</v>
      </c>
      <c r="H546">
        <f>IF(G546="", 0, IF(OR(A546=③資金配分!$D$1, A546=③資金配分!$D$2, B546=③資金配分!$D$1, B546=③資金配分!$D$2, C546=③資金配分!$D$1, C546=③資金配分!$D$2), 0, IF(OR(A546=③資金配分!$D$4, A546=③資金配分!$D$5, A546=③資金配分!$D$6, B546=③資金配分!$D$4, B546=③資金配分!$D$5, B546=③資金配分!$D$6, C546=③資金配分!$D$4, C546=③資金配分!$D$5, C546=③資金配分!$D$6), 0, IF(AND(③資金配分!$B$8&gt;0, G546&lt;=③資金配分!$B$8), 1, 0))))</f>
        <v>0</v>
      </c>
      <c r="I546">
        <f t="shared" si="17"/>
        <v>0</v>
      </c>
      <c r="J546">
        <f>IF(I546&gt;0, ROUND((I546 / SUM($I$2:$I$817)) * ③資金配分!$B$7, -2), 0)</f>
        <v>0</v>
      </c>
    </row>
    <row r="547" spans="1:10" x14ac:dyDescent="0.4">
      <c r="A547">
        <v>6</v>
      </c>
      <c r="B547">
        <v>8</v>
      </c>
      <c r="C547">
        <v>13</v>
      </c>
      <c r="D547">
        <f>IFERROR(IF(_xlfn.XLOOKUP(A547, ①オッズ入力!$A$2:$A$19, ①オッズ入力!$D$2:$D$19, "")="", 0, _xlfn.XLOOKUP(A547, ①オッズ入力!$A$2:$A$19, ①オッズ入力!$D$2:$D$19, 0)), 0)</f>
        <v>3.2481842184578273E-2</v>
      </c>
      <c r="E547">
        <f>IFERROR(IF(_xlfn.XLOOKUP(B547, ①オッズ入力!$A$2:$A$19, ①オッズ入力!$D$2:$D$19, "")="", 0, _xlfn.XLOOKUP(B547, ①オッズ入力!$A$2:$A$19, ①オッズ入力!$D$2:$D$19, 0)), 0)</f>
        <v>2.3820017602024068E-2</v>
      </c>
      <c r="F547">
        <f>IFERROR(IF(_xlfn.XLOOKUP(C547, ①オッズ入力!$A$2:$A$19, ①オッズ入力!$D$2:$D$19, "")="", 0, _xlfn.XLOOKUP(C547, ①オッズ入力!$A$2:$A$19, ①オッズ入力!$D$2:$D$19, 0)), 0)</f>
        <v>1.2760723715370036E-2</v>
      </c>
      <c r="G547">
        <f t="shared" si="16"/>
        <v>101284.26110911374</v>
      </c>
      <c r="H547">
        <f>IF(G547="", 0, IF(OR(A547=③資金配分!$D$1, A547=③資金配分!$D$2, B547=③資金配分!$D$1, B547=③資金配分!$D$2, C547=③資金配分!$D$1, C547=③資金配分!$D$2), 0, IF(OR(A547=③資金配分!$D$4, A547=③資金配分!$D$5, A547=③資金配分!$D$6, B547=③資金配分!$D$4, B547=③資金配分!$D$5, B547=③資金配分!$D$6, C547=③資金配分!$D$4, C547=③資金配分!$D$5, C547=③資金配分!$D$6), 0, IF(AND(③資金配分!$B$8&gt;0, G547&lt;=③資金配分!$B$8), 1, 0))))</f>
        <v>0</v>
      </c>
      <c r="I547">
        <f t="shared" si="17"/>
        <v>0</v>
      </c>
      <c r="J547">
        <f>IF(I547&gt;0, ROUND((I547 / SUM($I$2:$I$817)) * ③資金配分!$B$7, -2), 0)</f>
        <v>0</v>
      </c>
    </row>
    <row r="548" spans="1:10" x14ac:dyDescent="0.4">
      <c r="A548">
        <v>6</v>
      </c>
      <c r="B548">
        <v>8</v>
      </c>
      <c r="C548">
        <v>14</v>
      </c>
      <c r="D548">
        <f>IFERROR(IF(_xlfn.XLOOKUP(A548, ①オッズ入力!$A$2:$A$19, ①オッズ入力!$D$2:$D$19, "")="", 0, _xlfn.XLOOKUP(A548, ①オッズ入力!$A$2:$A$19, ①オッズ入力!$D$2:$D$19, 0)), 0)</f>
        <v>3.2481842184578273E-2</v>
      </c>
      <c r="E548">
        <f>IFERROR(IF(_xlfn.XLOOKUP(B548, ①オッズ入力!$A$2:$A$19, ①オッズ入力!$D$2:$D$19, "")="", 0, _xlfn.XLOOKUP(B548, ①オッズ入力!$A$2:$A$19, ①オッズ入力!$D$2:$D$19, 0)), 0)</f>
        <v>2.3820017602024068E-2</v>
      </c>
      <c r="F548">
        <f>IFERROR(IF(_xlfn.XLOOKUP(C548, ①オッズ入力!$A$2:$A$19, ①オッズ入力!$D$2:$D$19, "")="", 0, _xlfn.XLOOKUP(C548, ①オッズ入力!$A$2:$A$19, ①オッズ入力!$D$2:$D$19, 0)), 0)</f>
        <v>1.1525814968721322E-2</v>
      </c>
      <c r="G548">
        <f t="shared" si="16"/>
        <v>112136.14622794735</v>
      </c>
      <c r="H548">
        <f>IF(G548="", 0, IF(OR(A548=③資金配分!$D$1, A548=③資金配分!$D$2, B548=③資金配分!$D$1, B548=③資金配分!$D$2, C548=③資金配分!$D$1, C548=③資金配分!$D$2), 0, IF(OR(A548=③資金配分!$D$4, A548=③資金配分!$D$5, A548=③資金配分!$D$6, B548=③資金配分!$D$4, B548=③資金配分!$D$5, B548=③資金配分!$D$6, C548=③資金配分!$D$4, C548=③資金配分!$D$5, C548=③資金配分!$D$6), 0, IF(AND(③資金配分!$B$8&gt;0, G548&lt;=③資金配分!$B$8), 1, 0))))</f>
        <v>0</v>
      </c>
      <c r="I548">
        <f t="shared" si="17"/>
        <v>0</v>
      </c>
      <c r="J548">
        <f>IF(I548&gt;0, ROUND((I548 / SUM($I$2:$I$817)) * ③資金配分!$B$7, -2), 0)</f>
        <v>0</v>
      </c>
    </row>
    <row r="549" spans="1:10" x14ac:dyDescent="0.4">
      <c r="A549">
        <v>6</v>
      </c>
      <c r="B549">
        <v>8</v>
      </c>
      <c r="C549">
        <v>15</v>
      </c>
      <c r="D549">
        <f>IFERROR(IF(_xlfn.XLOOKUP(A549, ①オッズ入力!$A$2:$A$19, ①オッズ入力!$D$2:$D$19, "")="", 0, _xlfn.XLOOKUP(A549, ①オッズ入力!$A$2:$A$19, ①オッズ入力!$D$2:$D$19, 0)), 0)</f>
        <v>3.2481842184578273E-2</v>
      </c>
      <c r="E549">
        <f>IFERROR(IF(_xlfn.XLOOKUP(B549, ①オッズ入力!$A$2:$A$19, ①オッズ入力!$D$2:$D$19, "")="", 0, _xlfn.XLOOKUP(B549, ①オッズ入力!$A$2:$A$19, ①オッズ入力!$D$2:$D$19, 0)), 0)</f>
        <v>2.3820017602024068E-2</v>
      </c>
      <c r="F549">
        <f>IFERROR(IF(_xlfn.XLOOKUP(C549, ①オッズ入力!$A$2:$A$19, ①オッズ入力!$D$2:$D$19, "")="", 0, _xlfn.XLOOKUP(C549, ①オッズ入力!$A$2:$A$19, ①オッズ入力!$D$2:$D$19, 0)), 0)</f>
        <v>1.0697612695519792E-2</v>
      </c>
      <c r="G549">
        <f t="shared" si="16"/>
        <v>120817.65432301423</v>
      </c>
      <c r="H549">
        <f>IF(G549="", 0, IF(OR(A549=③資金配分!$D$1, A549=③資金配分!$D$2, B549=③資金配分!$D$1, B549=③資金配分!$D$2, C549=③資金配分!$D$1, C549=③資金配分!$D$2), 0, IF(OR(A549=③資金配分!$D$4, A549=③資金配分!$D$5, A549=③資金配分!$D$6, B549=③資金配分!$D$4, B549=③資金配分!$D$5, B549=③資金配分!$D$6, C549=③資金配分!$D$4, C549=③資金配分!$D$5, C549=③資金配分!$D$6), 0, IF(AND(③資金配分!$B$8&gt;0, G549&lt;=③資金配分!$B$8), 1, 0))))</f>
        <v>0</v>
      </c>
      <c r="I549">
        <f t="shared" si="17"/>
        <v>0</v>
      </c>
      <c r="J549">
        <f>IF(I549&gt;0, ROUND((I549 / SUM($I$2:$I$817)) * ③資金配分!$B$7, -2), 0)</f>
        <v>0</v>
      </c>
    </row>
    <row r="550" spans="1:10" x14ac:dyDescent="0.4">
      <c r="A550">
        <v>6</v>
      </c>
      <c r="B550">
        <v>8</v>
      </c>
      <c r="C550">
        <v>16</v>
      </c>
      <c r="D550">
        <f>IFERROR(IF(_xlfn.XLOOKUP(A550, ①オッズ入力!$A$2:$A$19, ①オッズ入力!$D$2:$D$19, "")="", 0, _xlfn.XLOOKUP(A550, ①オッズ入力!$A$2:$A$19, ①オッズ入力!$D$2:$D$19, 0)), 0)</f>
        <v>3.2481842184578273E-2</v>
      </c>
      <c r="E550">
        <f>IFERROR(IF(_xlfn.XLOOKUP(B550, ①オッズ入力!$A$2:$A$19, ①オッズ入力!$D$2:$D$19, "")="", 0, _xlfn.XLOOKUP(B550, ①オッズ入力!$A$2:$A$19, ①オッズ入力!$D$2:$D$19, 0)), 0)</f>
        <v>2.3820017602024068E-2</v>
      </c>
      <c r="F550">
        <f>IFERROR(IF(_xlfn.XLOOKUP(C550, ①オッズ入力!$A$2:$A$19, ①オッズ入力!$D$2:$D$19, "")="", 0, _xlfn.XLOOKUP(C550, ①オッズ入力!$A$2:$A$19, ①オッズ入力!$D$2:$D$19, 0)), 0)</f>
        <v>9.8701730395127345E-3</v>
      </c>
      <c r="G550">
        <f t="shared" si="16"/>
        <v>130946.0804339256</v>
      </c>
      <c r="H550">
        <f>IF(G550="", 0, IF(OR(A550=③資金配分!$D$1, A550=③資金配分!$D$2, B550=③資金配分!$D$1, B550=③資金配分!$D$2, C550=③資金配分!$D$1, C550=③資金配分!$D$2), 0, IF(OR(A550=③資金配分!$D$4, A550=③資金配分!$D$5, A550=③資金配分!$D$6, B550=③資金配分!$D$4, B550=③資金配分!$D$5, B550=③資金配分!$D$6, C550=③資金配分!$D$4, C550=③資金配分!$D$5, C550=③資金配分!$D$6), 0, IF(AND(③資金配分!$B$8&gt;0, G550&lt;=③資金配分!$B$8), 1, 0))))</f>
        <v>0</v>
      </c>
      <c r="I550">
        <f t="shared" si="17"/>
        <v>0</v>
      </c>
      <c r="J550">
        <f>IF(I550&gt;0, ROUND((I550 / SUM($I$2:$I$817)) * ③資金配分!$B$7, -2), 0)</f>
        <v>0</v>
      </c>
    </row>
    <row r="551" spans="1:10" x14ac:dyDescent="0.4">
      <c r="A551">
        <v>6</v>
      </c>
      <c r="B551">
        <v>8</v>
      </c>
      <c r="C551">
        <v>17</v>
      </c>
      <c r="D551">
        <f>IFERROR(IF(_xlfn.XLOOKUP(A551, ①オッズ入力!$A$2:$A$19, ①オッズ入力!$D$2:$D$19, "")="", 0, _xlfn.XLOOKUP(A551, ①オッズ入力!$A$2:$A$19, ①オッズ入力!$D$2:$D$19, 0)), 0)</f>
        <v>3.2481842184578273E-2</v>
      </c>
      <c r="E551">
        <f>IFERROR(IF(_xlfn.XLOOKUP(B551, ①オッズ入力!$A$2:$A$19, ①オッズ入力!$D$2:$D$19, "")="", 0, _xlfn.XLOOKUP(B551, ①オッズ入力!$A$2:$A$19, ①オッズ入力!$D$2:$D$19, 0)), 0)</f>
        <v>2.3820017602024068E-2</v>
      </c>
      <c r="F551">
        <f>IFERROR(IF(_xlfn.XLOOKUP(C551, ①オッズ入力!$A$2:$A$19, ①オッズ入力!$D$2:$D$19, "")="", 0, _xlfn.XLOOKUP(C551, ①オッズ入力!$A$2:$A$19, ①オッズ入力!$D$2:$D$19, 0)), 0)</f>
        <v>9.1615452315477186E-3</v>
      </c>
      <c r="G551">
        <f t="shared" si="16"/>
        <v>141074.50654483697</v>
      </c>
      <c r="H551">
        <f>IF(G551="", 0, IF(OR(A551=③資金配分!$D$1, A551=③資金配分!$D$2, B551=③資金配分!$D$1, B551=③資金配分!$D$2, C551=③資金配分!$D$1, C551=③資金配分!$D$2), 0, IF(OR(A551=③資金配分!$D$4, A551=③資金配分!$D$5, A551=③資金配分!$D$6, B551=③資金配分!$D$4, B551=③資金配分!$D$5, B551=③資金配分!$D$6, C551=③資金配分!$D$4, C551=③資金配分!$D$5, C551=③資金配分!$D$6), 0, IF(AND(③資金配分!$B$8&gt;0, G551&lt;=③資金配分!$B$8), 1, 0))))</f>
        <v>0</v>
      </c>
      <c r="I551">
        <f t="shared" si="17"/>
        <v>0</v>
      </c>
      <c r="J551">
        <f>IF(I551&gt;0, ROUND((I551 / SUM($I$2:$I$817)) * ③資金配分!$B$7, -2), 0)</f>
        <v>0</v>
      </c>
    </row>
    <row r="552" spans="1:10" x14ac:dyDescent="0.4">
      <c r="A552">
        <v>6</v>
      </c>
      <c r="B552">
        <v>8</v>
      </c>
      <c r="C552">
        <v>18</v>
      </c>
      <c r="D552">
        <f>IFERROR(IF(_xlfn.XLOOKUP(A552, ①オッズ入力!$A$2:$A$19, ①オッズ入力!$D$2:$D$19, "")="", 0, _xlfn.XLOOKUP(A552, ①オッズ入力!$A$2:$A$19, ①オッズ入力!$D$2:$D$19, 0)), 0)</f>
        <v>3.2481842184578273E-2</v>
      </c>
      <c r="E552">
        <f>IFERROR(IF(_xlfn.XLOOKUP(B552, ①オッズ入力!$A$2:$A$19, ①オッズ入力!$D$2:$D$19, "")="", 0, _xlfn.XLOOKUP(B552, ①オッズ入力!$A$2:$A$19, ①オッズ入力!$D$2:$D$19, 0)), 0)</f>
        <v>2.3820017602024068E-2</v>
      </c>
      <c r="F552">
        <f>IFERROR(IF(_xlfn.XLOOKUP(C552, ①オッズ入力!$A$2:$A$19, ①オッズ入力!$D$2:$D$19, "")="", 0, _xlfn.XLOOKUP(C552, ①オッズ入力!$A$2:$A$19, ①オッズ入力!$D$2:$D$19, 0)), 0)</f>
        <v>8.5478532064679671E-3</v>
      </c>
      <c r="G552">
        <f t="shared" si="16"/>
        <v>151202.93265574836</v>
      </c>
      <c r="H552">
        <f>IF(G552="", 0, IF(OR(A552=③資金配分!$D$1, A552=③資金配分!$D$2, B552=③資金配分!$D$1, B552=③資金配分!$D$2, C552=③資金配分!$D$1, C552=③資金配分!$D$2), 0, IF(OR(A552=③資金配分!$D$4, A552=③資金配分!$D$5, A552=③資金配分!$D$6, B552=③資金配分!$D$4, B552=③資金配分!$D$5, B552=③資金配分!$D$6, C552=③資金配分!$D$4, C552=③資金配分!$D$5, C552=③資金配分!$D$6), 0, IF(AND(③資金配分!$B$8&gt;0, G552&lt;=③資金配分!$B$8), 1, 0))))</f>
        <v>0</v>
      </c>
      <c r="I552">
        <f t="shared" si="17"/>
        <v>0</v>
      </c>
      <c r="J552">
        <f>IF(I552&gt;0, ROUND((I552 / SUM($I$2:$I$817)) * ③資金配分!$B$7, -2), 0)</f>
        <v>0</v>
      </c>
    </row>
    <row r="553" spans="1:10" x14ac:dyDescent="0.4">
      <c r="A553">
        <v>6</v>
      </c>
      <c r="B553">
        <v>9</v>
      </c>
      <c r="C553">
        <v>10</v>
      </c>
      <c r="D553">
        <f>IFERROR(IF(_xlfn.XLOOKUP(A553, ①オッズ入力!$A$2:$A$19, ①オッズ入力!$D$2:$D$19, "")="", 0, _xlfn.XLOOKUP(A553, ①オッズ入力!$A$2:$A$19, ①オッズ入力!$D$2:$D$19, 0)), 0)</f>
        <v>3.2481842184578273E-2</v>
      </c>
      <c r="E553">
        <f>IFERROR(IF(_xlfn.XLOOKUP(B553, ①オッズ入力!$A$2:$A$19, ①オッズ入力!$D$2:$D$19, "")="", 0, _xlfn.XLOOKUP(B553, ①オッズ入力!$A$2:$A$19, ①オッズ入力!$D$2:$D$19, 0)), 0)</f>
        <v>1.9850014668353389E-2</v>
      </c>
      <c r="F553">
        <f>IFERROR(IF(_xlfn.XLOOKUP(C553, ①オッズ入力!$A$2:$A$19, ①オッズ入力!$D$2:$D$19, "")="", 0, _xlfn.XLOOKUP(C553, ①オッズ入力!$A$2:$A$19, ①オッズ入力!$D$2:$D$19, 0)), 0)</f>
        <v>1.7865013201518051E-2</v>
      </c>
      <c r="G553">
        <f t="shared" si="16"/>
        <v>86815.080950668897</v>
      </c>
      <c r="H553">
        <f>IF(G553="", 0, IF(OR(A553=③資金配分!$D$1, A553=③資金配分!$D$2, B553=③資金配分!$D$1, B553=③資金配分!$D$2, C553=③資金配分!$D$1, C553=③資金配分!$D$2), 0, IF(OR(A553=③資金配分!$D$4, A553=③資金配分!$D$5, A553=③資金配分!$D$6, B553=③資金配分!$D$4, B553=③資金配分!$D$5, B553=③資金配分!$D$6, C553=③資金配分!$D$4, C553=③資金配分!$D$5, C553=③資金配分!$D$6), 0, IF(AND(③資金配分!$B$8&gt;0, G553&lt;=③資金配分!$B$8), 1, 0))))</f>
        <v>0</v>
      </c>
      <c r="I553">
        <f t="shared" si="17"/>
        <v>0</v>
      </c>
      <c r="J553">
        <f>IF(I553&gt;0, ROUND((I553 / SUM($I$2:$I$817)) * ③資金配分!$B$7, -2), 0)</f>
        <v>0</v>
      </c>
    </row>
    <row r="554" spans="1:10" x14ac:dyDescent="0.4">
      <c r="A554">
        <v>6</v>
      </c>
      <c r="B554">
        <v>9</v>
      </c>
      <c r="C554">
        <v>11</v>
      </c>
      <c r="D554">
        <f>IFERROR(IF(_xlfn.XLOOKUP(A554, ①オッズ入力!$A$2:$A$19, ①オッズ入力!$D$2:$D$19, "")="", 0, _xlfn.XLOOKUP(A554, ①オッズ入力!$A$2:$A$19, ①オッズ入力!$D$2:$D$19, 0)), 0)</f>
        <v>3.2481842184578273E-2</v>
      </c>
      <c r="E554">
        <f>IFERROR(IF(_xlfn.XLOOKUP(B554, ①オッズ入力!$A$2:$A$19, ①オッズ入力!$D$2:$D$19, "")="", 0, _xlfn.XLOOKUP(B554, ①オッズ入力!$A$2:$A$19, ①オッズ入力!$D$2:$D$19, 0)), 0)</f>
        <v>1.9850014668353389E-2</v>
      </c>
      <c r="F554">
        <f>IFERROR(IF(_xlfn.XLOOKUP(C554, ①オッズ入力!$A$2:$A$19, ①オッズ入力!$D$2:$D$19, "")="", 0, _xlfn.XLOOKUP(C554, ①オッズ入力!$A$2:$A$19, ①オッズ入力!$D$2:$D$19, 0)), 0)</f>
        <v>1.6240921092289137E-2</v>
      </c>
      <c r="G554">
        <f t="shared" si="16"/>
        <v>95496.589045735804</v>
      </c>
      <c r="H554">
        <f>IF(G554="", 0, IF(OR(A554=③資金配分!$D$1, A554=③資金配分!$D$2, B554=③資金配分!$D$1, B554=③資金配分!$D$2, C554=③資金配分!$D$1, C554=③資金配分!$D$2), 0, IF(OR(A554=③資金配分!$D$4, A554=③資金配分!$D$5, A554=③資金配分!$D$6, B554=③資金配分!$D$4, B554=③資金配分!$D$5, B554=③資金配分!$D$6, C554=③資金配分!$D$4, C554=③資金配分!$D$5, C554=③資金配分!$D$6), 0, IF(AND(③資金配分!$B$8&gt;0, G554&lt;=③資金配分!$B$8), 1, 0))))</f>
        <v>0</v>
      </c>
      <c r="I554">
        <f t="shared" si="17"/>
        <v>0</v>
      </c>
      <c r="J554">
        <f>IF(I554&gt;0, ROUND((I554 / SUM($I$2:$I$817)) * ③資金配分!$B$7, -2), 0)</f>
        <v>0</v>
      </c>
    </row>
    <row r="555" spans="1:10" x14ac:dyDescent="0.4">
      <c r="A555">
        <v>6</v>
      </c>
      <c r="B555">
        <v>9</v>
      </c>
      <c r="C555">
        <v>12</v>
      </c>
      <c r="D555">
        <f>IFERROR(IF(_xlfn.XLOOKUP(A555, ①オッズ入力!$A$2:$A$19, ①オッズ入力!$D$2:$D$19, "")="", 0, _xlfn.XLOOKUP(A555, ①オッズ入力!$A$2:$A$19, ①オッズ入力!$D$2:$D$19, 0)), 0)</f>
        <v>3.2481842184578273E-2</v>
      </c>
      <c r="E555">
        <f>IFERROR(IF(_xlfn.XLOOKUP(B555, ①オッズ入力!$A$2:$A$19, ①オッズ入力!$D$2:$D$19, "")="", 0, _xlfn.XLOOKUP(B555, ①オッズ入力!$A$2:$A$19, ①オッズ入力!$D$2:$D$19, 0)), 0)</f>
        <v>1.9850014668353389E-2</v>
      </c>
      <c r="F555">
        <f>IFERROR(IF(_xlfn.XLOOKUP(C555, ①オッズ入力!$A$2:$A$19, ①オッズ入力!$D$2:$D$19, "")="", 0, _xlfn.XLOOKUP(C555, ①オッズ入力!$A$2:$A$19, ①オッズ入力!$D$2:$D$19, 0)), 0)</f>
        <v>1.4887511001265043E-2</v>
      </c>
      <c r="G555">
        <f t="shared" si="16"/>
        <v>104178.09714080268</v>
      </c>
      <c r="H555">
        <f>IF(G555="", 0, IF(OR(A555=③資金配分!$D$1, A555=③資金配分!$D$2, B555=③資金配分!$D$1, B555=③資金配分!$D$2, C555=③資金配分!$D$1, C555=③資金配分!$D$2), 0, IF(OR(A555=③資金配分!$D$4, A555=③資金配分!$D$5, A555=③資金配分!$D$6, B555=③資金配分!$D$4, B555=③資金配分!$D$5, B555=③資金配分!$D$6, C555=③資金配分!$D$4, C555=③資金配分!$D$5, C555=③資金配分!$D$6), 0, IF(AND(③資金配分!$B$8&gt;0, G555&lt;=③資金配分!$B$8), 1, 0))))</f>
        <v>0</v>
      </c>
      <c r="I555">
        <f t="shared" si="17"/>
        <v>0</v>
      </c>
      <c r="J555">
        <f>IF(I555&gt;0, ROUND((I555 / SUM($I$2:$I$817)) * ③資金配分!$B$7, -2), 0)</f>
        <v>0</v>
      </c>
    </row>
    <row r="556" spans="1:10" x14ac:dyDescent="0.4">
      <c r="A556">
        <v>6</v>
      </c>
      <c r="B556">
        <v>9</v>
      </c>
      <c r="C556">
        <v>13</v>
      </c>
      <c r="D556">
        <f>IFERROR(IF(_xlfn.XLOOKUP(A556, ①オッズ入力!$A$2:$A$19, ①オッズ入力!$D$2:$D$19, "")="", 0, _xlfn.XLOOKUP(A556, ①オッズ入力!$A$2:$A$19, ①オッズ入力!$D$2:$D$19, 0)), 0)</f>
        <v>3.2481842184578273E-2</v>
      </c>
      <c r="E556">
        <f>IFERROR(IF(_xlfn.XLOOKUP(B556, ①オッズ入力!$A$2:$A$19, ①オッズ入力!$D$2:$D$19, "")="", 0, _xlfn.XLOOKUP(B556, ①オッズ入力!$A$2:$A$19, ①オッズ入力!$D$2:$D$19, 0)), 0)</f>
        <v>1.9850014668353389E-2</v>
      </c>
      <c r="F556">
        <f>IFERROR(IF(_xlfn.XLOOKUP(C556, ①オッズ入力!$A$2:$A$19, ①オッズ入力!$D$2:$D$19, "")="", 0, _xlfn.XLOOKUP(C556, ①オッズ入力!$A$2:$A$19, ①オッズ入力!$D$2:$D$19, 0)), 0)</f>
        <v>1.2760723715370036E-2</v>
      </c>
      <c r="G556">
        <f t="shared" si="16"/>
        <v>121541.11333093648</v>
      </c>
      <c r="H556">
        <f>IF(G556="", 0, IF(OR(A556=③資金配分!$D$1, A556=③資金配分!$D$2, B556=③資金配分!$D$1, B556=③資金配分!$D$2, C556=③資金配分!$D$1, C556=③資金配分!$D$2), 0, IF(OR(A556=③資金配分!$D$4, A556=③資金配分!$D$5, A556=③資金配分!$D$6, B556=③資金配分!$D$4, B556=③資金配分!$D$5, B556=③資金配分!$D$6, C556=③資金配分!$D$4, C556=③資金配分!$D$5, C556=③資金配分!$D$6), 0, IF(AND(③資金配分!$B$8&gt;0, G556&lt;=③資金配分!$B$8), 1, 0))))</f>
        <v>0</v>
      </c>
      <c r="I556">
        <f t="shared" si="17"/>
        <v>0</v>
      </c>
      <c r="J556">
        <f>IF(I556&gt;0, ROUND((I556 / SUM($I$2:$I$817)) * ③資金配分!$B$7, -2), 0)</f>
        <v>0</v>
      </c>
    </row>
    <row r="557" spans="1:10" x14ac:dyDescent="0.4">
      <c r="A557">
        <v>6</v>
      </c>
      <c r="B557">
        <v>9</v>
      </c>
      <c r="C557">
        <v>14</v>
      </c>
      <c r="D557">
        <f>IFERROR(IF(_xlfn.XLOOKUP(A557, ①オッズ入力!$A$2:$A$19, ①オッズ入力!$D$2:$D$19, "")="", 0, _xlfn.XLOOKUP(A557, ①オッズ入力!$A$2:$A$19, ①オッズ入力!$D$2:$D$19, 0)), 0)</f>
        <v>3.2481842184578273E-2</v>
      </c>
      <c r="E557">
        <f>IFERROR(IF(_xlfn.XLOOKUP(B557, ①オッズ入力!$A$2:$A$19, ①オッズ入力!$D$2:$D$19, "")="", 0, _xlfn.XLOOKUP(B557, ①オッズ入力!$A$2:$A$19, ①オッズ入力!$D$2:$D$19, 0)), 0)</f>
        <v>1.9850014668353389E-2</v>
      </c>
      <c r="F557">
        <f>IFERROR(IF(_xlfn.XLOOKUP(C557, ①オッズ入力!$A$2:$A$19, ①オッズ入力!$D$2:$D$19, "")="", 0, _xlfn.XLOOKUP(C557, ①オッズ入力!$A$2:$A$19, ①オッズ入力!$D$2:$D$19, 0)), 0)</f>
        <v>1.1525814968721322E-2</v>
      </c>
      <c r="G557">
        <f t="shared" si="16"/>
        <v>134563.37547353681</v>
      </c>
      <c r="H557">
        <f>IF(G557="", 0, IF(OR(A557=③資金配分!$D$1, A557=③資金配分!$D$2, B557=③資金配分!$D$1, B557=③資金配分!$D$2, C557=③資金配分!$D$1, C557=③資金配分!$D$2), 0, IF(OR(A557=③資金配分!$D$4, A557=③資金配分!$D$5, A557=③資金配分!$D$6, B557=③資金配分!$D$4, B557=③資金配分!$D$5, B557=③資金配分!$D$6, C557=③資金配分!$D$4, C557=③資金配分!$D$5, C557=③資金配分!$D$6), 0, IF(AND(③資金配分!$B$8&gt;0, G557&lt;=③資金配分!$B$8), 1, 0))))</f>
        <v>0</v>
      </c>
      <c r="I557">
        <f t="shared" si="17"/>
        <v>0</v>
      </c>
      <c r="J557">
        <f>IF(I557&gt;0, ROUND((I557 / SUM($I$2:$I$817)) * ③資金配分!$B$7, -2), 0)</f>
        <v>0</v>
      </c>
    </row>
    <row r="558" spans="1:10" x14ac:dyDescent="0.4">
      <c r="A558">
        <v>6</v>
      </c>
      <c r="B558">
        <v>9</v>
      </c>
      <c r="C558">
        <v>15</v>
      </c>
      <c r="D558">
        <f>IFERROR(IF(_xlfn.XLOOKUP(A558, ①オッズ入力!$A$2:$A$19, ①オッズ入力!$D$2:$D$19, "")="", 0, _xlfn.XLOOKUP(A558, ①オッズ入力!$A$2:$A$19, ①オッズ入力!$D$2:$D$19, 0)), 0)</f>
        <v>3.2481842184578273E-2</v>
      </c>
      <c r="E558">
        <f>IFERROR(IF(_xlfn.XLOOKUP(B558, ①オッズ入力!$A$2:$A$19, ①オッズ入力!$D$2:$D$19, "")="", 0, _xlfn.XLOOKUP(B558, ①オッズ入力!$A$2:$A$19, ①オッズ入力!$D$2:$D$19, 0)), 0)</f>
        <v>1.9850014668353389E-2</v>
      </c>
      <c r="F558">
        <f>IFERROR(IF(_xlfn.XLOOKUP(C558, ①オッズ入力!$A$2:$A$19, ①オッズ入力!$D$2:$D$19, "")="", 0, _xlfn.XLOOKUP(C558, ①オッズ入力!$A$2:$A$19, ①オッズ入力!$D$2:$D$19, 0)), 0)</f>
        <v>1.0697612695519792E-2</v>
      </c>
      <c r="G558">
        <f t="shared" si="16"/>
        <v>144981.18518761705</v>
      </c>
      <c r="H558">
        <f>IF(G558="", 0, IF(OR(A558=③資金配分!$D$1, A558=③資金配分!$D$2, B558=③資金配分!$D$1, B558=③資金配分!$D$2, C558=③資金配分!$D$1, C558=③資金配分!$D$2), 0, IF(OR(A558=③資金配分!$D$4, A558=③資金配分!$D$5, A558=③資金配分!$D$6, B558=③資金配分!$D$4, B558=③資金配分!$D$5, B558=③資金配分!$D$6, C558=③資金配分!$D$4, C558=③資金配分!$D$5, C558=③資金配分!$D$6), 0, IF(AND(③資金配分!$B$8&gt;0, G558&lt;=③資金配分!$B$8), 1, 0))))</f>
        <v>0</v>
      </c>
      <c r="I558">
        <f t="shared" si="17"/>
        <v>0</v>
      </c>
      <c r="J558">
        <f>IF(I558&gt;0, ROUND((I558 / SUM($I$2:$I$817)) * ③資金配分!$B$7, -2), 0)</f>
        <v>0</v>
      </c>
    </row>
    <row r="559" spans="1:10" x14ac:dyDescent="0.4">
      <c r="A559">
        <v>6</v>
      </c>
      <c r="B559">
        <v>9</v>
      </c>
      <c r="C559">
        <v>16</v>
      </c>
      <c r="D559">
        <f>IFERROR(IF(_xlfn.XLOOKUP(A559, ①オッズ入力!$A$2:$A$19, ①オッズ入力!$D$2:$D$19, "")="", 0, _xlfn.XLOOKUP(A559, ①オッズ入力!$A$2:$A$19, ①オッズ入力!$D$2:$D$19, 0)), 0)</f>
        <v>3.2481842184578273E-2</v>
      </c>
      <c r="E559">
        <f>IFERROR(IF(_xlfn.XLOOKUP(B559, ①オッズ入力!$A$2:$A$19, ①オッズ入力!$D$2:$D$19, "")="", 0, _xlfn.XLOOKUP(B559, ①オッズ入力!$A$2:$A$19, ①オッズ入力!$D$2:$D$19, 0)), 0)</f>
        <v>1.9850014668353389E-2</v>
      </c>
      <c r="F559">
        <f>IFERROR(IF(_xlfn.XLOOKUP(C559, ①オッズ入力!$A$2:$A$19, ①オッズ入力!$D$2:$D$19, "")="", 0, _xlfn.XLOOKUP(C559, ①オッズ入力!$A$2:$A$19, ①オッズ入力!$D$2:$D$19, 0)), 0)</f>
        <v>9.8701730395127345E-3</v>
      </c>
      <c r="G559">
        <f t="shared" si="16"/>
        <v>157135.29652071072</v>
      </c>
      <c r="H559">
        <f>IF(G559="", 0, IF(OR(A559=③資金配分!$D$1, A559=③資金配分!$D$2, B559=③資金配分!$D$1, B559=③資金配分!$D$2, C559=③資金配分!$D$1, C559=③資金配分!$D$2), 0, IF(OR(A559=③資金配分!$D$4, A559=③資金配分!$D$5, A559=③資金配分!$D$6, B559=③資金配分!$D$4, B559=③資金配分!$D$5, B559=③資金配分!$D$6, C559=③資金配分!$D$4, C559=③資金配分!$D$5, C559=③資金配分!$D$6), 0, IF(AND(③資金配分!$B$8&gt;0, G559&lt;=③資金配分!$B$8), 1, 0))))</f>
        <v>0</v>
      </c>
      <c r="I559">
        <f t="shared" si="17"/>
        <v>0</v>
      </c>
      <c r="J559">
        <f>IF(I559&gt;0, ROUND((I559 / SUM($I$2:$I$817)) * ③資金配分!$B$7, -2), 0)</f>
        <v>0</v>
      </c>
    </row>
    <row r="560" spans="1:10" x14ac:dyDescent="0.4">
      <c r="A560">
        <v>6</v>
      </c>
      <c r="B560">
        <v>9</v>
      </c>
      <c r="C560">
        <v>17</v>
      </c>
      <c r="D560">
        <f>IFERROR(IF(_xlfn.XLOOKUP(A560, ①オッズ入力!$A$2:$A$19, ①オッズ入力!$D$2:$D$19, "")="", 0, _xlfn.XLOOKUP(A560, ①オッズ入力!$A$2:$A$19, ①オッズ入力!$D$2:$D$19, 0)), 0)</f>
        <v>3.2481842184578273E-2</v>
      </c>
      <c r="E560">
        <f>IFERROR(IF(_xlfn.XLOOKUP(B560, ①オッズ入力!$A$2:$A$19, ①オッズ入力!$D$2:$D$19, "")="", 0, _xlfn.XLOOKUP(B560, ①オッズ入力!$A$2:$A$19, ①オッズ入力!$D$2:$D$19, 0)), 0)</f>
        <v>1.9850014668353389E-2</v>
      </c>
      <c r="F560">
        <f>IFERROR(IF(_xlfn.XLOOKUP(C560, ①オッズ入力!$A$2:$A$19, ①オッズ入力!$D$2:$D$19, "")="", 0, _xlfn.XLOOKUP(C560, ①オッズ入力!$A$2:$A$19, ①オッズ入力!$D$2:$D$19, 0)), 0)</f>
        <v>9.1615452315477186E-3</v>
      </c>
      <c r="G560">
        <f t="shared" si="16"/>
        <v>169289.40785380435</v>
      </c>
      <c r="H560">
        <f>IF(G560="", 0, IF(OR(A560=③資金配分!$D$1, A560=③資金配分!$D$2, B560=③資金配分!$D$1, B560=③資金配分!$D$2, C560=③資金配分!$D$1, C560=③資金配分!$D$2), 0, IF(OR(A560=③資金配分!$D$4, A560=③資金配分!$D$5, A560=③資金配分!$D$6, B560=③資金配分!$D$4, B560=③資金配分!$D$5, B560=③資金配分!$D$6, C560=③資金配分!$D$4, C560=③資金配分!$D$5, C560=③資金配分!$D$6), 0, IF(AND(③資金配分!$B$8&gt;0, G560&lt;=③資金配分!$B$8), 1, 0))))</f>
        <v>0</v>
      </c>
      <c r="I560">
        <f t="shared" si="17"/>
        <v>0</v>
      </c>
      <c r="J560">
        <f>IF(I560&gt;0, ROUND((I560 / SUM($I$2:$I$817)) * ③資金配分!$B$7, -2), 0)</f>
        <v>0</v>
      </c>
    </row>
    <row r="561" spans="1:10" x14ac:dyDescent="0.4">
      <c r="A561">
        <v>6</v>
      </c>
      <c r="B561">
        <v>9</v>
      </c>
      <c r="C561">
        <v>18</v>
      </c>
      <c r="D561">
        <f>IFERROR(IF(_xlfn.XLOOKUP(A561, ①オッズ入力!$A$2:$A$19, ①オッズ入力!$D$2:$D$19, "")="", 0, _xlfn.XLOOKUP(A561, ①オッズ入力!$A$2:$A$19, ①オッズ入力!$D$2:$D$19, 0)), 0)</f>
        <v>3.2481842184578273E-2</v>
      </c>
      <c r="E561">
        <f>IFERROR(IF(_xlfn.XLOOKUP(B561, ①オッズ入力!$A$2:$A$19, ①オッズ入力!$D$2:$D$19, "")="", 0, _xlfn.XLOOKUP(B561, ①オッズ入力!$A$2:$A$19, ①オッズ入力!$D$2:$D$19, 0)), 0)</f>
        <v>1.9850014668353389E-2</v>
      </c>
      <c r="F561">
        <f>IFERROR(IF(_xlfn.XLOOKUP(C561, ①オッズ入力!$A$2:$A$19, ①オッズ入力!$D$2:$D$19, "")="", 0, _xlfn.XLOOKUP(C561, ①オッズ入力!$A$2:$A$19, ①オッズ入力!$D$2:$D$19, 0)), 0)</f>
        <v>8.5478532064679671E-3</v>
      </c>
      <c r="G561">
        <f t="shared" si="16"/>
        <v>181443.51918689799</v>
      </c>
      <c r="H561">
        <f>IF(G561="", 0, IF(OR(A561=③資金配分!$D$1, A561=③資金配分!$D$2, B561=③資金配分!$D$1, B561=③資金配分!$D$2, C561=③資金配分!$D$1, C561=③資金配分!$D$2), 0, IF(OR(A561=③資金配分!$D$4, A561=③資金配分!$D$5, A561=③資金配分!$D$6, B561=③資金配分!$D$4, B561=③資金配分!$D$5, B561=③資金配分!$D$6, C561=③資金配分!$D$4, C561=③資金配分!$D$5, C561=③資金配分!$D$6), 0, IF(AND(③資金配分!$B$8&gt;0, G561&lt;=③資金配分!$B$8), 1, 0))))</f>
        <v>0</v>
      </c>
      <c r="I561">
        <f t="shared" si="17"/>
        <v>0</v>
      </c>
      <c r="J561">
        <f>IF(I561&gt;0, ROUND((I561 / SUM($I$2:$I$817)) * ③資金配分!$B$7, -2), 0)</f>
        <v>0</v>
      </c>
    </row>
    <row r="562" spans="1:10" x14ac:dyDescent="0.4">
      <c r="A562">
        <v>6</v>
      </c>
      <c r="B562">
        <v>10</v>
      </c>
      <c r="C562">
        <v>11</v>
      </c>
      <c r="D562">
        <f>IFERROR(IF(_xlfn.XLOOKUP(A562, ①オッズ入力!$A$2:$A$19, ①オッズ入力!$D$2:$D$19, "")="", 0, _xlfn.XLOOKUP(A562, ①オッズ入力!$A$2:$A$19, ①オッズ入力!$D$2:$D$19, 0)), 0)</f>
        <v>3.2481842184578273E-2</v>
      </c>
      <c r="E562">
        <f>IFERROR(IF(_xlfn.XLOOKUP(B562, ①オッズ入力!$A$2:$A$19, ①オッズ入力!$D$2:$D$19, "")="", 0, _xlfn.XLOOKUP(B562, ①オッズ入力!$A$2:$A$19, ①オッズ入力!$D$2:$D$19, 0)), 0)</f>
        <v>1.7865013201518051E-2</v>
      </c>
      <c r="F562">
        <f>IFERROR(IF(_xlfn.XLOOKUP(C562, ①オッズ入力!$A$2:$A$19, ①オッズ入力!$D$2:$D$19, "")="", 0, _xlfn.XLOOKUP(C562, ①オッズ入力!$A$2:$A$19, ①オッズ入力!$D$2:$D$19, 0)), 0)</f>
        <v>1.6240921092289137E-2</v>
      </c>
      <c r="G562">
        <f t="shared" si="16"/>
        <v>106107.32116192866</v>
      </c>
      <c r="H562">
        <f>IF(G562="", 0, IF(OR(A562=③資金配分!$D$1, A562=③資金配分!$D$2, B562=③資金配分!$D$1, B562=③資金配分!$D$2, C562=③資金配分!$D$1, C562=③資金配分!$D$2), 0, IF(OR(A562=③資金配分!$D$4, A562=③資金配分!$D$5, A562=③資金配分!$D$6, B562=③資金配分!$D$4, B562=③資金配分!$D$5, B562=③資金配分!$D$6, C562=③資金配分!$D$4, C562=③資金配分!$D$5, C562=③資金配分!$D$6), 0, IF(AND(③資金配分!$B$8&gt;0, G562&lt;=③資金配分!$B$8), 1, 0))))</f>
        <v>0</v>
      </c>
      <c r="I562">
        <f t="shared" si="17"/>
        <v>0</v>
      </c>
      <c r="J562">
        <f>IF(I562&gt;0, ROUND((I562 / SUM($I$2:$I$817)) * ③資金配分!$B$7, -2), 0)</f>
        <v>0</v>
      </c>
    </row>
    <row r="563" spans="1:10" x14ac:dyDescent="0.4">
      <c r="A563">
        <v>6</v>
      </c>
      <c r="B563">
        <v>10</v>
      </c>
      <c r="C563">
        <v>12</v>
      </c>
      <c r="D563">
        <f>IFERROR(IF(_xlfn.XLOOKUP(A563, ①オッズ入力!$A$2:$A$19, ①オッズ入力!$D$2:$D$19, "")="", 0, _xlfn.XLOOKUP(A563, ①オッズ入力!$A$2:$A$19, ①オッズ入力!$D$2:$D$19, 0)), 0)</f>
        <v>3.2481842184578273E-2</v>
      </c>
      <c r="E563">
        <f>IFERROR(IF(_xlfn.XLOOKUP(B563, ①オッズ入力!$A$2:$A$19, ①オッズ入力!$D$2:$D$19, "")="", 0, _xlfn.XLOOKUP(B563, ①オッズ入力!$A$2:$A$19, ①オッズ入力!$D$2:$D$19, 0)), 0)</f>
        <v>1.7865013201518051E-2</v>
      </c>
      <c r="F563">
        <f>IFERROR(IF(_xlfn.XLOOKUP(C563, ①オッズ入力!$A$2:$A$19, ①オッズ入力!$D$2:$D$19, "")="", 0, _xlfn.XLOOKUP(C563, ①オッズ入力!$A$2:$A$19, ①オッズ入力!$D$2:$D$19, 0)), 0)</f>
        <v>1.4887511001265043E-2</v>
      </c>
      <c r="G563">
        <f t="shared" si="16"/>
        <v>115753.44126755853</v>
      </c>
      <c r="H563">
        <f>IF(G563="", 0, IF(OR(A563=③資金配分!$D$1, A563=③資金配分!$D$2, B563=③資金配分!$D$1, B563=③資金配分!$D$2, C563=③資金配分!$D$1, C563=③資金配分!$D$2), 0, IF(OR(A563=③資金配分!$D$4, A563=③資金配分!$D$5, A563=③資金配分!$D$6, B563=③資金配分!$D$4, B563=③資金配分!$D$5, B563=③資金配分!$D$6, C563=③資金配分!$D$4, C563=③資金配分!$D$5, C563=③資金配分!$D$6), 0, IF(AND(③資金配分!$B$8&gt;0, G563&lt;=③資金配分!$B$8), 1, 0))))</f>
        <v>0</v>
      </c>
      <c r="I563">
        <f t="shared" si="17"/>
        <v>0</v>
      </c>
      <c r="J563">
        <f>IF(I563&gt;0, ROUND((I563 / SUM($I$2:$I$817)) * ③資金配分!$B$7, -2), 0)</f>
        <v>0</v>
      </c>
    </row>
    <row r="564" spans="1:10" x14ac:dyDescent="0.4">
      <c r="A564">
        <v>6</v>
      </c>
      <c r="B564">
        <v>10</v>
      </c>
      <c r="C564">
        <v>13</v>
      </c>
      <c r="D564">
        <f>IFERROR(IF(_xlfn.XLOOKUP(A564, ①オッズ入力!$A$2:$A$19, ①オッズ入力!$D$2:$D$19, "")="", 0, _xlfn.XLOOKUP(A564, ①オッズ入力!$A$2:$A$19, ①オッズ入力!$D$2:$D$19, 0)), 0)</f>
        <v>3.2481842184578273E-2</v>
      </c>
      <c r="E564">
        <f>IFERROR(IF(_xlfn.XLOOKUP(B564, ①オッズ入力!$A$2:$A$19, ①オッズ入力!$D$2:$D$19, "")="", 0, _xlfn.XLOOKUP(B564, ①オッズ入力!$A$2:$A$19, ①オッズ入力!$D$2:$D$19, 0)), 0)</f>
        <v>1.7865013201518051E-2</v>
      </c>
      <c r="F564">
        <f>IFERROR(IF(_xlfn.XLOOKUP(C564, ①オッズ入力!$A$2:$A$19, ①オッズ入力!$D$2:$D$19, "")="", 0, _xlfn.XLOOKUP(C564, ①オッズ入力!$A$2:$A$19, ①オッズ入力!$D$2:$D$19, 0)), 0)</f>
        <v>1.2760723715370036E-2</v>
      </c>
      <c r="G564">
        <f t="shared" si="16"/>
        <v>135045.6814788183</v>
      </c>
      <c r="H564">
        <f>IF(G564="", 0, IF(OR(A564=③資金配分!$D$1, A564=③資金配分!$D$2, B564=③資金配分!$D$1, B564=③資金配分!$D$2, C564=③資金配分!$D$1, C564=③資金配分!$D$2), 0, IF(OR(A564=③資金配分!$D$4, A564=③資金配分!$D$5, A564=③資金配分!$D$6, B564=③資金配分!$D$4, B564=③資金配分!$D$5, B564=③資金配分!$D$6, C564=③資金配分!$D$4, C564=③資金配分!$D$5, C564=③資金配分!$D$6), 0, IF(AND(③資金配分!$B$8&gt;0, G564&lt;=③資金配分!$B$8), 1, 0))))</f>
        <v>0</v>
      </c>
      <c r="I564">
        <f t="shared" si="17"/>
        <v>0</v>
      </c>
      <c r="J564">
        <f>IF(I564&gt;0, ROUND((I564 / SUM($I$2:$I$817)) * ③資金配分!$B$7, -2), 0)</f>
        <v>0</v>
      </c>
    </row>
    <row r="565" spans="1:10" x14ac:dyDescent="0.4">
      <c r="A565">
        <v>6</v>
      </c>
      <c r="B565">
        <v>10</v>
      </c>
      <c r="C565">
        <v>14</v>
      </c>
      <c r="D565">
        <f>IFERROR(IF(_xlfn.XLOOKUP(A565, ①オッズ入力!$A$2:$A$19, ①オッズ入力!$D$2:$D$19, "")="", 0, _xlfn.XLOOKUP(A565, ①オッズ入力!$A$2:$A$19, ①オッズ入力!$D$2:$D$19, 0)), 0)</f>
        <v>3.2481842184578273E-2</v>
      </c>
      <c r="E565">
        <f>IFERROR(IF(_xlfn.XLOOKUP(B565, ①オッズ入力!$A$2:$A$19, ①オッズ入力!$D$2:$D$19, "")="", 0, _xlfn.XLOOKUP(B565, ①オッズ入力!$A$2:$A$19, ①オッズ入力!$D$2:$D$19, 0)), 0)</f>
        <v>1.7865013201518051E-2</v>
      </c>
      <c r="F565">
        <f>IFERROR(IF(_xlfn.XLOOKUP(C565, ①オッズ入力!$A$2:$A$19, ①オッズ入力!$D$2:$D$19, "")="", 0, _xlfn.XLOOKUP(C565, ①オッズ入力!$A$2:$A$19, ①オッズ入力!$D$2:$D$19, 0)), 0)</f>
        <v>1.1525814968721322E-2</v>
      </c>
      <c r="G565">
        <f t="shared" si="16"/>
        <v>149514.86163726312</v>
      </c>
      <c r="H565">
        <f>IF(G565="", 0, IF(OR(A565=③資金配分!$D$1, A565=③資金配分!$D$2, B565=③資金配分!$D$1, B565=③資金配分!$D$2, C565=③資金配分!$D$1, C565=③資金配分!$D$2), 0, IF(OR(A565=③資金配分!$D$4, A565=③資金配分!$D$5, A565=③資金配分!$D$6, B565=③資金配分!$D$4, B565=③資金配分!$D$5, B565=③資金配分!$D$6, C565=③資金配分!$D$4, C565=③資金配分!$D$5, C565=③資金配分!$D$6), 0, IF(AND(③資金配分!$B$8&gt;0, G565&lt;=③資金配分!$B$8), 1, 0))))</f>
        <v>0</v>
      </c>
      <c r="I565">
        <f t="shared" si="17"/>
        <v>0</v>
      </c>
      <c r="J565">
        <f>IF(I565&gt;0, ROUND((I565 / SUM($I$2:$I$817)) * ③資金配分!$B$7, -2), 0)</f>
        <v>0</v>
      </c>
    </row>
    <row r="566" spans="1:10" x14ac:dyDescent="0.4">
      <c r="A566">
        <v>6</v>
      </c>
      <c r="B566">
        <v>10</v>
      </c>
      <c r="C566">
        <v>15</v>
      </c>
      <c r="D566">
        <f>IFERROR(IF(_xlfn.XLOOKUP(A566, ①オッズ入力!$A$2:$A$19, ①オッズ入力!$D$2:$D$19, "")="", 0, _xlfn.XLOOKUP(A566, ①オッズ入力!$A$2:$A$19, ①オッズ入力!$D$2:$D$19, 0)), 0)</f>
        <v>3.2481842184578273E-2</v>
      </c>
      <c r="E566">
        <f>IFERROR(IF(_xlfn.XLOOKUP(B566, ①オッズ入力!$A$2:$A$19, ①オッズ入力!$D$2:$D$19, "")="", 0, _xlfn.XLOOKUP(B566, ①オッズ入力!$A$2:$A$19, ①オッズ入力!$D$2:$D$19, 0)), 0)</f>
        <v>1.7865013201518051E-2</v>
      </c>
      <c r="F566">
        <f>IFERROR(IF(_xlfn.XLOOKUP(C566, ①オッズ入力!$A$2:$A$19, ①オッズ入力!$D$2:$D$19, "")="", 0, _xlfn.XLOOKUP(C566, ①オッズ入力!$A$2:$A$19, ①オッズ入力!$D$2:$D$19, 0)), 0)</f>
        <v>1.0697612695519792E-2</v>
      </c>
      <c r="G566">
        <f t="shared" si="16"/>
        <v>161090.20576401893</v>
      </c>
      <c r="H566">
        <f>IF(G566="", 0, IF(OR(A566=③資金配分!$D$1, A566=③資金配分!$D$2, B566=③資金配分!$D$1, B566=③資金配分!$D$2, C566=③資金配分!$D$1, C566=③資金配分!$D$2), 0, IF(OR(A566=③資金配分!$D$4, A566=③資金配分!$D$5, A566=③資金配分!$D$6, B566=③資金配分!$D$4, B566=③資金配分!$D$5, B566=③資金配分!$D$6, C566=③資金配分!$D$4, C566=③資金配分!$D$5, C566=③資金配分!$D$6), 0, IF(AND(③資金配分!$B$8&gt;0, G566&lt;=③資金配分!$B$8), 1, 0))))</f>
        <v>0</v>
      </c>
      <c r="I566">
        <f t="shared" si="17"/>
        <v>0</v>
      </c>
      <c r="J566">
        <f>IF(I566&gt;0, ROUND((I566 / SUM($I$2:$I$817)) * ③資金配分!$B$7, -2), 0)</f>
        <v>0</v>
      </c>
    </row>
    <row r="567" spans="1:10" x14ac:dyDescent="0.4">
      <c r="A567">
        <v>6</v>
      </c>
      <c r="B567">
        <v>10</v>
      </c>
      <c r="C567">
        <v>16</v>
      </c>
      <c r="D567">
        <f>IFERROR(IF(_xlfn.XLOOKUP(A567, ①オッズ入力!$A$2:$A$19, ①オッズ入力!$D$2:$D$19, "")="", 0, _xlfn.XLOOKUP(A567, ①オッズ入力!$A$2:$A$19, ①オッズ入力!$D$2:$D$19, 0)), 0)</f>
        <v>3.2481842184578273E-2</v>
      </c>
      <c r="E567">
        <f>IFERROR(IF(_xlfn.XLOOKUP(B567, ①オッズ入力!$A$2:$A$19, ①オッズ入力!$D$2:$D$19, "")="", 0, _xlfn.XLOOKUP(B567, ①オッズ入力!$A$2:$A$19, ①オッズ入力!$D$2:$D$19, 0)), 0)</f>
        <v>1.7865013201518051E-2</v>
      </c>
      <c r="F567">
        <f>IFERROR(IF(_xlfn.XLOOKUP(C567, ①オッズ入力!$A$2:$A$19, ①オッズ入力!$D$2:$D$19, "")="", 0, _xlfn.XLOOKUP(C567, ①オッズ入力!$A$2:$A$19, ①オッズ入力!$D$2:$D$19, 0)), 0)</f>
        <v>9.8701730395127345E-3</v>
      </c>
      <c r="G567">
        <f t="shared" si="16"/>
        <v>174594.77391190079</v>
      </c>
      <c r="H567">
        <f>IF(G567="", 0, IF(OR(A567=③資金配分!$D$1, A567=③資金配分!$D$2, B567=③資金配分!$D$1, B567=③資金配分!$D$2, C567=③資金配分!$D$1, C567=③資金配分!$D$2), 0, IF(OR(A567=③資金配分!$D$4, A567=③資金配分!$D$5, A567=③資金配分!$D$6, B567=③資金配分!$D$4, B567=③資金配分!$D$5, B567=③資金配分!$D$6, C567=③資金配分!$D$4, C567=③資金配分!$D$5, C567=③資金配分!$D$6), 0, IF(AND(③資金配分!$B$8&gt;0, G567&lt;=③資金配分!$B$8), 1, 0))))</f>
        <v>0</v>
      </c>
      <c r="I567">
        <f t="shared" si="17"/>
        <v>0</v>
      </c>
      <c r="J567">
        <f>IF(I567&gt;0, ROUND((I567 / SUM($I$2:$I$817)) * ③資金配分!$B$7, -2), 0)</f>
        <v>0</v>
      </c>
    </row>
    <row r="568" spans="1:10" x14ac:dyDescent="0.4">
      <c r="A568">
        <v>6</v>
      </c>
      <c r="B568">
        <v>10</v>
      </c>
      <c r="C568">
        <v>17</v>
      </c>
      <c r="D568">
        <f>IFERROR(IF(_xlfn.XLOOKUP(A568, ①オッズ入力!$A$2:$A$19, ①オッズ入力!$D$2:$D$19, "")="", 0, _xlfn.XLOOKUP(A568, ①オッズ入力!$A$2:$A$19, ①オッズ入力!$D$2:$D$19, 0)), 0)</f>
        <v>3.2481842184578273E-2</v>
      </c>
      <c r="E568">
        <f>IFERROR(IF(_xlfn.XLOOKUP(B568, ①オッズ入力!$A$2:$A$19, ①オッズ入力!$D$2:$D$19, "")="", 0, _xlfn.XLOOKUP(B568, ①オッズ入力!$A$2:$A$19, ①オッズ入力!$D$2:$D$19, 0)), 0)</f>
        <v>1.7865013201518051E-2</v>
      </c>
      <c r="F568">
        <f>IFERROR(IF(_xlfn.XLOOKUP(C568, ①オッズ入力!$A$2:$A$19, ①オッズ入力!$D$2:$D$19, "")="", 0, _xlfn.XLOOKUP(C568, ①オッズ入力!$A$2:$A$19, ①オッズ入力!$D$2:$D$19, 0)), 0)</f>
        <v>9.1615452315477186E-3</v>
      </c>
      <c r="G568">
        <f t="shared" si="16"/>
        <v>188099.34205978259</v>
      </c>
      <c r="H568">
        <f>IF(G568="", 0, IF(OR(A568=③資金配分!$D$1, A568=③資金配分!$D$2, B568=③資金配分!$D$1, B568=③資金配分!$D$2, C568=③資金配分!$D$1, C568=③資金配分!$D$2), 0, IF(OR(A568=③資金配分!$D$4, A568=③資金配分!$D$5, A568=③資金配分!$D$6, B568=③資金配分!$D$4, B568=③資金配分!$D$5, B568=③資金配分!$D$6, C568=③資金配分!$D$4, C568=③資金配分!$D$5, C568=③資金配分!$D$6), 0, IF(AND(③資金配分!$B$8&gt;0, G568&lt;=③資金配分!$B$8), 1, 0))))</f>
        <v>0</v>
      </c>
      <c r="I568">
        <f t="shared" si="17"/>
        <v>0</v>
      </c>
      <c r="J568">
        <f>IF(I568&gt;0, ROUND((I568 / SUM($I$2:$I$817)) * ③資金配分!$B$7, -2), 0)</f>
        <v>0</v>
      </c>
    </row>
    <row r="569" spans="1:10" x14ac:dyDescent="0.4">
      <c r="A569">
        <v>6</v>
      </c>
      <c r="B569">
        <v>10</v>
      </c>
      <c r="C569">
        <v>18</v>
      </c>
      <c r="D569">
        <f>IFERROR(IF(_xlfn.XLOOKUP(A569, ①オッズ入力!$A$2:$A$19, ①オッズ入力!$D$2:$D$19, "")="", 0, _xlfn.XLOOKUP(A569, ①オッズ入力!$A$2:$A$19, ①オッズ入力!$D$2:$D$19, 0)), 0)</f>
        <v>3.2481842184578273E-2</v>
      </c>
      <c r="E569">
        <f>IFERROR(IF(_xlfn.XLOOKUP(B569, ①オッズ入力!$A$2:$A$19, ①オッズ入力!$D$2:$D$19, "")="", 0, _xlfn.XLOOKUP(B569, ①オッズ入力!$A$2:$A$19, ①オッズ入力!$D$2:$D$19, 0)), 0)</f>
        <v>1.7865013201518051E-2</v>
      </c>
      <c r="F569">
        <f>IFERROR(IF(_xlfn.XLOOKUP(C569, ①オッズ入力!$A$2:$A$19, ①オッズ入力!$D$2:$D$19, "")="", 0, _xlfn.XLOOKUP(C569, ①オッズ入力!$A$2:$A$19, ①オッズ入力!$D$2:$D$19, 0)), 0)</f>
        <v>8.5478532064679671E-3</v>
      </c>
      <c r="G569">
        <f t="shared" si="16"/>
        <v>201603.91020766442</v>
      </c>
      <c r="H569">
        <f>IF(G569="", 0, IF(OR(A569=③資金配分!$D$1, A569=③資金配分!$D$2, B569=③資金配分!$D$1, B569=③資金配分!$D$2, C569=③資金配分!$D$1, C569=③資金配分!$D$2), 0, IF(OR(A569=③資金配分!$D$4, A569=③資金配分!$D$5, A569=③資金配分!$D$6, B569=③資金配分!$D$4, B569=③資金配分!$D$5, B569=③資金配分!$D$6, C569=③資金配分!$D$4, C569=③資金配分!$D$5, C569=③資金配分!$D$6), 0, IF(AND(③資金配分!$B$8&gt;0, G569&lt;=③資金配分!$B$8), 1, 0))))</f>
        <v>0</v>
      </c>
      <c r="I569">
        <f t="shared" si="17"/>
        <v>0</v>
      </c>
      <c r="J569">
        <f>IF(I569&gt;0, ROUND((I569 / SUM($I$2:$I$817)) * ③資金配分!$B$7, -2), 0)</f>
        <v>0</v>
      </c>
    </row>
    <row r="570" spans="1:10" x14ac:dyDescent="0.4">
      <c r="A570">
        <v>6</v>
      </c>
      <c r="B570">
        <v>11</v>
      </c>
      <c r="C570">
        <v>12</v>
      </c>
      <c r="D570">
        <f>IFERROR(IF(_xlfn.XLOOKUP(A570, ①オッズ入力!$A$2:$A$19, ①オッズ入力!$D$2:$D$19, "")="", 0, _xlfn.XLOOKUP(A570, ①オッズ入力!$A$2:$A$19, ①オッズ入力!$D$2:$D$19, 0)), 0)</f>
        <v>3.2481842184578273E-2</v>
      </c>
      <c r="E570">
        <f>IFERROR(IF(_xlfn.XLOOKUP(B570, ①オッズ入力!$A$2:$A$19, ①オッズ入力!$D$2:$D$19, "")="", 0, _xlfn.XLOOKUP(B570, ①オッズ入力!$A$2:$A$19, ①オッズ入力!$D$2:$D$19, 0)), 0)</f>
        <v>1.6240921092289137E-2</v>
      </c>
      <c r="F570">
        <f>IFERROR(IF(_xlfn.XLOOKUP(C570, ①オッズ入力!$A$2:$A$19, ①オッズ入力!$D$2:$D$19, "")="", 0, _xlfn.XLOOKUP(C570, ①オッズ入力!$A$2:$A$19, ①オッズ入力!$D$2:$D$19, 0)), 0)</f>
        <v>1.4887511001265043E-2</v>
      </c>
      <c r="G570">
        <f t="shared" si="16"/>
        <v>127328.7853943144</v>
      </c>
      <c r="H570">
        <f>IF(G570="", 0, IF(OR(A570=③資金配分!$D$1, A570=③資金配分!$D$2, B570=③資金配分!$D$1, B570=③資金配分!$D$2, C570=③資金配分!$D$1, C570=③資金配分!$D$2), 0, IF(OR(A570=③資金配分!$D$4, A570=③資金配分!$D$5, A570=③資金配分!$D$6, B570=③資金配分!$D$4, B570=③資金配分!$D$5, B570=③資金配分!$D$6, C570=③資金配分!$D$4, C570=③資金配分!$D$5, C570=③資金配分!$D$6), 0, IF(AND(③資金配分!$B$8&gt;0, G570&lt;=③資金配分!$B$8), 1, 0))))</f>
        <v>0</v>
      </c>
      <c r="I570">
        <f t="shared" si="17"/>
        <v>0</v>
      </c>
      <c r="J570">
        <f>IF(I570&gt;0, ROUND((I570 / SUM($I$2:$I$817)) * ③資金配分!$B$7, -2), 0)</f>
        <v>0</v>
      </c>
    </row>
    <row r="571" spans="1:10" x14ac:dyDescent="0.4">
      <c r="A571">
        <v>6</v>
      </c>
      <c r="B571">
        <v>11</v>
      </c>
      <c r="C571">
        <v>13</v>
      </c>
      <c r="D571">
        <f>IFERROR(IF(_xlfn.XLOOKUP(A571, ①オッズ入力!$A$2:$A$19, ①オッズ入力!$D$2:$D$19, "")="", 0, _xlfn.XLOOKUP(A571, ①オッズ入力!$A$2:$A$19, ①オッズ入力!$D$2:$D$19, 0)), 0)</f>
        <v>3.2481842184578273E-2</v>
      </c>
      <c r="E571">
        <f>IFERROR(IF(_xlfn.XLOOKUP(B571, ①オッズ入力!$A$2:$A$19, ①オッズ入力!$D$2:$D$19, "")="", 0, _xlfn.XLOOKUP(B571, ①オッズ入力!$A$2:$A$19, ①オッズ入力!$D$2:$D$19, 0)), 0)</f>
        <v>1.6240921092289137E-2</v>
      </c>
      <c r="F571">
        <f>IFERROR(IF(_xlfn.XLOOKUP(C571, ①オッズ入力!$A$2:$A$19, ①オッズ入力!$D$2:$D$19, "")="", 0, _xlfn.XLOOKUP(C571, ①オッズ入力!$A$2:$A$19, ①オッズ入力!$D$2:$D$19, 0)), 0)</f>
        <v>1.2760723715370036E-2</v>
      </c>
      <c r="G571">
        <f t="shared" si="16"/>
        <v>148550.24962670016</v>
      </c>
      <c r="H571">
        <f>IF(G571="", 0, IF(OR(A571=③資金配分!$D$1, A571=③資金配分!$D$2, B571=③資金配分!$D$1, B571=③資金配分!$D$2, C571=③資金配分!$D$1, C571=③資金配分!$D$2), 0, IF(OR(A571=③資金配分!$D$4, A571=③資金配分!$D$5, A571=③資金配分!$D$6, B571=③資金配分!$D$4, B571=③資金配分!$D$5, B571=③資金配分!$D$6, C571=③資金配分!$D$4, C571=③資金配分!$D$5, C571=③資金配分!$D$6), 0, IF(AND(③資金配分!$B$8&gt;0, G571&lt;=③資金配分!$B$8), 1, 0))))</f>
        <v>0</v>
      </c>
      <c r="I571">
        <f t="shared" si="17"/>
        <v>0</v>
      </c>
      <c r="J571">
        <f>IF(I571&gt;0, ROUND((I571 / SUM($I$2:$I$817)) * ③資金配分!$B$7, -2), 0)</f>
        <v>0</v>
      </c>
    </row>
    <row r="572" spans="1:10" x14ac:dyDescent="0.4">
      <c r="A572">
        <v>6</v>
      </c>
      <c r="B572">
        <v>11</v>
      </c>
      <c r="C572">
        <v>14</v>
      </c>
      <c r="D572">
        <f>IFERROR(IF(_xlfn.XLOOKUP(A572, ①オッズ入力!$A$2:$A$19, ①オッズ入力!$D$2:$D$19, "")="", 0, _xlfn.XLOOKUP(A572, ①オッズ入力!$A$2:$A$19, ①オッズ入力!$D$2:$D$19, 0)), 0)</f>
        <v>3.2481842184578273E-2</v>
      </c>
      <c r="E572">
        <f>IFERROR(IF(_xlfn.XLOOKUP(B572, ①オッズ入力!$A$2:$A$19, ①オッズ入力!$D$2:$D$19, "")="", 0, _xlfn.XLOOKUP(B572, ①オッズ入力!$A$2:$A$19, ①オッズ入力!$D$2:$D$19, 0)), 0)</f>
        <v>1.6240921092289137E-2</v>
      </c>
      <c r="F572">
        <f>IFERROR(IF(_xlfn.XLOOKUP(C572, ①オッズ入力!$A$2:$A$19, ①オッズ入力!$D$2:$D$19, "")="", 0, _xlfn.XLOOKUP(C572, ①オッズ入力!$A$2:$A$19, ①オッズ入力!$D$2:$D$19, 0)), 0)</f>
        <v>1.1525814968721322E-2</v>
      </c>
      <c r="G572">
        <f t="shared" si="16"/>
        <v>164466.34780098946</v>
      </c>
      <c r="H572">
        <f>IF(G572="", 0, IF(OR(A572=③資金配分!$D$1, A572=③資金配分!$D$2, B572=③資金配分!$D$1, B572=③資金配分!$D$2, C572=③資金配分!$D$1, C572=③資金配分!$D$2), 0, IF(OR(A572=③資金配分!$D$4, A572=③資金配分!$D$5, A572=③資金配分!$D$6, B572=③資金配分!$D$4, B572=③資金配分!$D$5, B572=③資金配分!$D$6, C572=③資金配分!$D$4, C572=③資金配分!$D$5, C572=③資金配分!$D$6), 0, IF(AND(③資金配分!$B$8&gt;0, G572&lt;=③資金配分!$B$8), 1, 0))))</f>
        <v>0</v>
      </c>
      <c r="I572">
        <f t="shared" si="17"/>
        <v>0</v>
      </c>
      <c r="J572">
        <f>IF(I572&gt;0, ROUND((I572 / SUM($I$2:$I$817)) * ③資金配分!$B$7, -2), 0)</f>
        <v>0</v>
      </c>
    </row>
    <row r="573" spans="1:10" x14ac:dyDescent="0.4">
      <c r="A573">
        <v>6</v>
      </c>
      <c r="B573">
        <v>11</v>
      </c>
      <c r="C573">
        <v>15</v>
      </c>
      <c r="D573">
        <f>IFERROR(IF(_xlfn.XLOOKUP(A573, ①オッズ入力!$A$2:$A$19, ①オッズ入力!$D$2:$D$19, "")="", 0, _xlfn.XLOOKUP(A573, ①オッズ入力!$A$2:$A$19, ①オッズ入力!$D$2:$D$19, 0)), 0)</f>
        <v>3.2481842184578273E-2</v>
      </c>
      <c r="E573">
        <f>IFERROR(IF(_xlfn.XLOOKUP(B573, ①オッズ入力!$A$2:$A$19, ①オッズ入力!$D$2:$D$19, "")="", 0, _xlfn.XLOOKUP(B573, ①オッズ入力!$A$2:$A$19, ①オッズ入力!$D$2:$D$19, 0)), 0)</f>
        <v>1.6240921092289137E-2</v>
      </c>
      <c r="F573">
        <f>IFERROR(IF(_xlfn.XLOOKUP(C573, ①オッズ入力!$A$2:$A$19, ①オッズ入力!$D$2:$D$19, "")="", 0, _xlfn.XLOOKUP(C573, ①オッズ入力!$A$2:$A$19, ①オッズ入力!$D$2:$D$19, 0)), 0)</f>
        <v>1.0697612695519792E-2</v>
      </c>
      <c r="G573">
        <f t="shared" si="16"/>
        <v>177199.22634042086</v>
      </c>
      <c r="H573">
        <f>IF(G573="", 0, IF(OR(A573=③資金配分!$D$1, A573=③資金配分!$D$2, B573=③資金配分!$D$1, B573=③資金配分!$D$2, C573=③資金配分!$D$1, C573=③資金配分!$D$2), 0, IF(OR(A573=③資金配分!$D$4, A573=③資金配分!$D$5, A573=③資金配分!$D$6, B573=③資金配分!$D$4, B573=③資金配分!$D$5, B573=③資金配分!$D$6, C573=③資金配分!$D$4, C573=③資金配分!$D$5, C573=③資金配分!$D$6), 0, IF(AND(③資金配分!$B$8&gt;0, G573&lt;=③資金配分!$B$8), 1, 0))))</f>
        <v>0</v>
      </c>
      <c r="I573">
        <f t="shared" si="17"/>
        <v>0</v>
      </c>
      <c r="J573">
        <f>IF(I573&gt;0, ROUND((I573 / SUM($I$2:$I$817)) * ③資金配分!$B$7, -2), 0)</f>
        <v>0</v>
      </c>
    </row>
    <row r="574" spans="1:10" x14ac:dyDescent="0.4">
      <c r="A574">
        <v>6</v>
      </c>
      <c r="B574">
        <v>11</v>
      </c>
      <c r="C574">
        <v>16</v>
      </c>
      <c r="D574">
        <f>IFERROR(IF(_xlfn.XLOOKUP(A574, ①オッズ入力!$A$2:$A$19, ①オッズ入力!$D$2:$D$19, "")="", 0, _xlfn.XLOOKUP(A574, ①オッズ入力!$A$2:$A$19, ①オッズ入力!$D$2:$D$19, 0)), 0)</f>
        <v>3.2481842184578273E-2</v>
      </c>
      <c r="E574">
        <f>IFERROR(IF(_xlfn.XLOOKUP(B574, ①オッズ入力!$A$2:$A$19, ①オッズ入力!$D$2:$D$19, "")="", 0, _xlfn.XLOOKUP(B574, ①オッズ入力!$A$2:$A$19, ①オッズ入力!$D$2:$D$19, 0)), 0)</f>
        <v>1.6240921092289137E-2</v>
      </c>
      <c r="F574">
        <f>IFERROR(IF(_xlfn.XLOOKUP(C574, ①オッズ入力!$A$2:$A$19, ①オッズ入力!$D$2:$D$19, "")="", 0, _xlfn.XLOOKUP(C574, ①オッズ入力!$A$2:$A$19, ①オッズ入力!$D$2:$D$19, 0)), 0)</f>
        <v>9.8701730395127345E-3</v>
      </c>
      <c r="G574">
        <f t="shared" si="16"/>
        <v>192054.25130309092</v>
      </c>
      <c r="H574">
        <f>IF(G574="", 0, IF(OR(A574=③資金配分!$D$1, A574=③資金配分!$D$2, B574=③資金配分!$D$1, B574=③資金配分!$D$2, C574=③資金配分!$D$1, C574=③資金配分!$D$2), 0, IF(OR(A574=③資金配分!$D$4, A574=③資金配分!$D$5, A574=③資金配分!$D$6, B574=③資金配分!$D$4, B574=③資金配分!$D$5, B574=③資金配分!$D$6, C574=③資金配分!$D$4, C574=③資金配分!$D$5, C574=③資金配分!$D$6), 0, IF(AND(③資金配分!$B$8&gt;0, G574&lt;=③資金配分!$B$8), 1, 0))))</f>
        <v>0</v>
      </c>
      <c r="I574">
        <f t="shared" si="17"/>
        <v>0</v>
      </c>
      <c r="J574">
        <f>IF(I574&gt;0, ROUND((I574 / SUM($I$2:$I$817)) * ③資金配分!$B$7, -2), 0)</f>
        <v>0</v>
      </c>
    </row>
    <row r="575" spans="1:10" x14ac:dyDescent="0.4">
      <c r="A575">
        <v>6</v>
      </c>
      <c r="B575">
        <v>11</v>
      </c>
      <c r="C575">
        <v>17</v>
      </c>
      <c r="D575">
        <f>IFERROR(IF(_xlfn.XLOOKUP(A575, ①オッズ入力!$A$2:$A$19, ①オッズ入力!$D$2:$D$19, "")="", 0, _xlfn.XLOOKUP(A575, ①オッズ入力!$A$2:$A$19, ①オッズ入力!$D$2:$D$19, 0)), 0)</f>
        <v>3.2481842184578273E-2</v>
      </c>
      <c r="E575">
        <f>IFERROR(IF(_xlfn.XLOOKUP(B575, ①オッズ入力!$A$2:$A$19, ①オッズ入力!$D$2:$D$19, "")="", 0, _xlfn.XLOOKUP(B575, ①オッズ入力!$A$2:$A$19, ①オッズ入力!$D$2:$D$19, 0)), 0)</f>
        <v>1.6240921092289137E-2</v>
      </c>
      <c r="F575">
        <f>IFERROR(IF(_xlfn.XLOOKUP(C575, ①オッズ入力!$A$2:$A$19, ①オッズ入力!$D$2:$D$19, "")="", 0, _xlfn.XLOOKUP(C575, ①オッズ入力!$A$2:$A$19, ①オッズ入力!$D$2:$D$19, 0)), 0)</f>
        <v>9.1615452315477186E-3</v>
      </c>
      <c r="G575">
        <f t="shared" si="16"/>
        <v>206909.27626576091</v>
      </c>
      <c r="H575">
        <f>IF(G575="", 0, IF(OR(A575=③資金配分!$D$1, A575=③資金配分!$D$2, B575=③資金配分!$D$1, B575=③資金配分!$D$2, C575=③資金配分!$D$1, C575=③資金配分!$D$2), 0, IF(OR(A575=③資金配分!$D$4, A575=③資金配分!$D$5, A575=③資金配分!$D$6, B575=③資金配分!$D$4, B575=③資金配分!$D$5, B575=③資金配分!$D$6, C575=③資金配分!$D$4, C575=③資金配分!$D$5, C575=③資金配分!$D$6), 0, IF(AND(③資金配分!$B$8&gt;0, G575&lt;=③資金配分!$B$8), 1, 0))))</f>
        <v>0</v>
      </c>
      <c r="I575">
        <f t="shared" si="17"/>
        <v>0</v>
      </c>
      <c r="J575">
        <f>IF(I575&gt;0, ROUND((I575 / SUM($I$2:$I$817)) * ③資金配分!$B$7, -2), 0)</f>
        <v>0</v>
      </c>
    </row>
    <row r="576" spans="1:10" x14ac:dyDescent="0.4">
      <c r="A576">
        <v>6</v>
      </c>
      <c r="B576">
        <v>11</v>
      </c>
      <c r="C576">
        <v>18</v>
      </c>
      <c r="D576">
        <f>IFERROR(IF(_xlfn.XLOOKUP(A576, ①オッズ入力!$A$2:$A$19, ①オッズ入力!$D$2:$D$19, "")="", 0, _xlfn.XLOOKUP(A576, ①オッズ入力!$A$2:$A$19, ①オッズ入力!$D$2:$D$19, 0)), 0)</f>
        <v>3.2481842184578273E-2</v>
      </c>
      <c r="E576">
        <f>IFERROR(IF(_xlfn.XLOOKUP(B576, ①オッズ入力!$A$2:$A$19, ①オッズ入力!$D$2:$D$19, "")="", 0, _xlfn.XLOOKUP(B576, ①オッズ入力!$A$2:$A$19, ①オッズ入力!$D$2:$D$19, 0)), 0)</f>
        <v>1.6240921092289137E-2</v>
      </c>
      <c r="F576">
        <f>IFERROR(IF(_xlfn.XLOOKUP(C576, ①オッズ入力!$A$2:$A$19, ①オッズ入力!$D$2:$D$19, "")="", 0, _xlfn.XLOOKUP(C576, ①オッズ入力!$A$2:$A$19, ①オッズ入力!$D$2:$D$19, 0)), 0)</f>
        <v>8.5478532064679671E-3</v>
      </c>
      <c r="G576">
        <f t="shared" si="16"/>
        <v>221764.30122843094</v>
      </c>
      <c r="H576">
        <f>IF(G576="", 0, IF(OR(A576=③資金配分!$D$1, A576=③資金配分!$D$2, B576=③資金配分!$D$1, B576=③資金配分!$D$2, C576=③資金配分!$D$1, C576=③資金配分!$D$2), 0, IF(OR(A576=③資金配分!$D$4, A576=③資金配分!$D$5, A576=③資金配分!$D$6, B576=③資金配分!$D$4, B576=③資金配分!$D$5, B576=③資金配分!$D$6, C576=③資金配分!$D$4, C576=③資金配分!$D$5, C576=③資金配分!$D$6), 0, IF(AND(③資金配分!$B$8&gt;0, G576&lt;=③資金配分!$B$8), 1, 0))))</f>
        <v>0</v>
      </c>
      <c r="I576">
        <f t="shared" si="17"/>
        <v>0</v>
      </c>
      <c r="J576">
        <f>IF(I576&gt;0, ROUND((I576 / SUM($I$2:$I$817)) * ③資金配分!$B$7, -2), 0)</f>
        <v>0</v>
      </c>
    </row>
    <row r="577" spans="1:10" x14ac:dyDescent="0.4">
      <c r="A577">
        <v>6</v>
      </c>
      <c r="B577">
        <v>12</v>
      </c>
      <c r="C577">
        <v>13</v>
      </c>
      <c r="D577">
        <f>IFERROR(IF(_xlfn.XLOOKUP(A577, ①オッズ入力!$A$2:$A$19, ①オッズ入力!$D$2:$D$19, "")="", 0, _xlfn.XLOOKUP(A577, ①オッズ入力!$A$2:$A$19, ①オッズ入力!$D$2:$D$19, 0)), 0)</f>
        <v>3.2481842184578273E-2</v>
      </c>
      <c r="E577">
        <f>IFERROR(IF(_xlfn.XLOOKUP(B577, ①オッズ入力!$A$2:$A$19, ①オッズ入力!$D$2:$D$19, "")="", 0, _xlfn.XLOOKUP(B577, ①オッズ入力!$A$2:$A$19, ①オッズ入力!$D$2:$D$19, 0)), 0)</f>
        <v>1.4887511001265043E-2</v>
      </c>
      <c r="F577">
        <f>IFERROR(IF(_xlfn.XLOOKUP(C577, ①オッズ入力!$A$2:$A$19, ①オッズ入力!$D$2:$D$19, "")="", 0, _xlfn.XLOOKUP(C577, ①オッズ入力!$A$2:$A$19, ①オッズ入力!$D$2:$D$19, 0)), 0)</f>
        <v>1.2760723715370036E-2</v>
      </c>
      <c r="G577">
        <f t="shared" si="16"/>
        <v>162054.81777458196</v>
      </c>
      <c r="H577">
        <f>IF(G577="", 0, IF(OR(A577=③資金配分!$D$1, A577=③資金配分!$D$2, B577=③資金配分!$D$1, B577=③資金配分!$D$2, C577=③資金配分!$D$1, C577=③資金配分!$D$2), 0, IF(OR(A577=③資金配分!$D$4, A577=③資金配分!$D$5, A577=③資金配分!$D$6, B577=③資金配分!$D$4, B577=③資金配分!$D$5, B577=③資金配分!$D$6, C577=③資金配分!$D$4, C577=③資金配分!$D$5, C577=③資金配分!$D$6), 0, IF(AND(③資金配分!$B$8&gt;0, G577&lt;=③資金配分!$B$8), 1, 0))))</f>
        <v>0</v>
      </c>
      <c r="I577">
        <f t="shared" si="17"/>
        <v>0</v>
      </c>
      <c r="J577">
        <f>IF(I577&gt;0, ROUND((I577 / SUM($I$2:$I$817)) * ③資金配分!$B$7, -2), 0)</f>
        <v>0</v>
      </c>
    </row>
    <row r="578" spans="1:10" x14ac:dyDescent="0.4">
      <c r="A578">
        <v>6</v>
      </c>
      <c r="B578">
        <v>12</v>
      </c>
      <c r="C578">
        <v>14</v>
      </c>
      <c r="D578">
        <f>IFERROR(IF(_xlfn.XLOOKUP(A578, ①オッズ入力!$A$2:$A$19, ①オッズ入力!$D$2:$D$19, "")="", 0, _xlfn.XLOOKUP(A578, ①オッズ入力!$A$2:$A$19, ①オッズ入力!$D$2:$D$19, 0)), 0)</f>
        <v>3.2481842184578273E-2</v>
      </c>
      <c r="E578">
        <f>IFERROR(IF(_xlfn.XLOOKUP(B578, ①オッズ入力!$A$2:$A$19, ①オッズ入力!$D$2:$D$19, "")="", 0, _xlfn.XLOOKUP(B578, ①オッズ入力!$A$2:$A$19, ①オッズ入力!$D$2:$D$19, 0)), 0)</f>
        <v>1.4887511001265043E-2</v>
      </c>
      <c r="F578">
        <f>IFERROR(IF(_xlfn.XLOOKUP(C578, ①オッズ入力!$A$2:$A$19, ①オッズ入力!$D$2:$D$19, "")="", 0, _xlfn.XLOOKUP(C578, ①オッズ入力!$A$2:$A$19, ①オッズ入力!$D$2:$D$19, 0)), 0)</f>
        <v>1.1525814968721322E-2</v>
      </c>
      <c r="G578">
        <f t="shared" si="16"/>
        <v>179417.83396471574</v>
      </c>
      <c r="H578">
        <f>IF(G578="", 0, IF(OR(A578=③資金配分!$D$1, A578=③資金配分!$D$2, B578=③資金配分!$D$1, B578=③資金配分!$D$2, C578=③資金配分!$D$1, C578=③資金配分!$D$2), 0, IF(OR(A578=③資金配分!$D$4, A578=③資金配分!$D$5, A578=③資金配分!$D$6, B578=③資金配分!$D$4, B578=③資金配分!$D$5, B578=③資金配分!$D$6, C578=③資金配分!$D$4, C578=③資金配分!$D$5, C578=③資金配分!$D$6), 0, IF(AND(③資金配分!$B$8&gt;0, G578&lt;=③資金配分!$B$8), 1, 0))))</f>
        <v>0</v>
      </c>
      <c r="I578">
        <f t="shared" si="17"/>
        <v>0</v>
      </c>
      <c r="J578">
        <f>IF(I578&gt;0, ROUND((I578 / SUM($I$2:$I$817)) * ③資金配分!$B$7, -2), 0)</f>
        <v>0</v>
      </c>
    </row>
    <row r="579" spans="1:10" x14ac:dyDescent="0.4">
      <c r="A579">
        <v>6</v>
      </c>
      <c r="B579">
        <v>12</v>
      </c>
      <c r="C579">
        <v>15</v>
      </c>
      <c r="D579">
        <f>IFERROR(IF(_xlfn.XLOOKUP(A579, ①オッズ入力!$A$2:$A$19, ①オッズ入力!$D$2:$D$19, "")="", 0, _xlfn.XLOOKUP(A579, ①オッズ入力!$A$2:$A$19, ①オッズ入力!$D$2:$D$19, 0)), 0)</f>
        <v>3.2481842184578273E-2</v>
      </c>
      <c r="E579">
        <f>IFERROR(IF(_xlfn.XLOOKUP(B579, ①オッズ入力!$A$2:$A$19, ①オッズ入力!$D$2:$D$19, "")="", 0, _xlfn.XLOOKUP(B579, ①オッズ入力!$A$2:$A$19, ①オッズ入力!$D$2:$D$19, 0)), 0)</f>
        <v>1.4887511001265043E-2</v>
      </c>
      <c r="F579">
        <f>IFERROR(IF(_xlfn.XLOOKUP(C579, ①オッズ入力!$A$2:$A$19, ①オッズ入力!$D$2:$D$19, "")="", 0, _xlfn.XLOOKUP(C579, ①オッズ入力!$A$2:$A$19, ①オッズ入力!$D$2:$D$19, 0)), 0)</f>
        <v>1.0697612695519792E-2</v>
      </c>
      <c r="G579">
        <f t="shared" ref="G579:G642" si="18">IF(OR(D579=0, E579=0, F579=0), "", 1/(D579*E579*F579))</f>
        <v>193308.24691682277</v>
      </c>
      <c r="H579">
        <f>IF(G579="", 0, IF(OR(A579=③資金配分!$D$1, A579=③資金配分!$D$2, B579=③資金配分!$D$1, B579=③資金配分!$D$2, C579=③資金配分!$D$1, C579=③資金配分!$D$2), 0, IF(OR(A579=③資金配分!$D$4, A579=③資金配分!$D$5, A579=③資金配分!$D$6, B579=③資金配分!$D$4, B579=③資金配分!$D$5, B579=③資金配分!$D$6, C579=③資金配分!$D$4, C579=③資金配分!$D$5, C579=③資金配分!$D$6), 0, IF(AND(③資金配分!$B$8&gt;0, G579&lt;=③資金配分!$B$8), 1, 0))))</f>
        <v>0</v>
      </c>
      <c r="I579">
        <f t="shared" ref="I579:I642" si="19">IF(H579=1, 1/G579, 0)</f>
        <v>0</v>
      </c>
      <c r="J579">
        <f>IF(I579&gt;0, ROUND((I579 / SUM($I$2:$I$817)) * ③資金配分!$B$7, -2), 0)</f>
        <v>0</v>
      </c>
    </row>
    <row r="580" spans="1:10" x14ac:dyDescent="0.4">
      <c r="A580">
        <v>6</v>
      </c>
      <c r="B580">
        <v>12</v>
      </c>
      <c r="C580">
        <v>16</v>
      </c>
      <c r="D580">
        <f>IFERROR(IF(_xlfn.XLOOKUP(A580, ①オッズ入力!$A$2:$A$19, ①オッズ入力!$D$2:$D$19, "")="", 0, _xlfn.XLOOKUP(A580, ①オッズ入力!$A$2:$A$19, ①オッズ入力!$D$2:$D$19, 0)), 0)</f>
        <v>3.2481842184578273E-2</v>
      </c>
      <c r="E580">
        <f>IFERROR(IF(_xlfn.XLOOKUP(B580, ①オッズ入力!$A$2:$A$19, ①オッズ入力!$D$2:$D$19, "")="", 0, _xlfn.XLOOKUP(B580, ①オッズ入力!$A$2:$A$19, ①オッズ入力!$D$2:$D$19, 0)), 0)</f>
        <v>1.4887511001265043E-2</v>
      </c>
      <c r="F580">
        <f>IFERROR(IF(_xlfn.XLOOKUP(C580, ①オッズ入力!$A$2:$A$19, ①オッズ入力!$D$2:$D$19, "")="", 0, _xlfn.XLOOKUP(C580, ①オッズ入力!$A$2:$A$19, ①オッズ入力!$D$2:$D$19, 0)), 0)</f>
        <v>9.8701730395127345E-3</v>
      </c>
      <c r="G580">
        <f t="shared" si="18"/>
        <v>209513.72869428099</v>
      </c>
      <c r="H580">
        <f>IF(G580="", 0, IF(OR(A580=③資金配分!$D$1, A580=③資金配分!$D$2, B580=③資金配分!$D$1, B580=③資金配分!$D$2, C580=③資金配分!$D$1, C580=③資金配分!$D$2), 0, IF(OR(A580=③資金配分!$D$4, A580=③資金配分!$D$5, A580=③資金配分!$D$6, B580=③資金配分!$D$4, B580=③資金配分!$D$5, B580=③資金配分!$D$6, C580=③資金配分!$D$4, C580=③資金配分!$D$5, C580=③資金配分!$D$6), 0, IF(AND(③資金配分!$B$8&gt;0, G580&lt;=③資金配分!$B$8), 1, 0))))</f>
        <v>0</v>
      </c>
      <c r="I580">
        <f t="shared" si="19"/>
        <v>0</v>
      </c>
      <c r="J580">
        <f>IF(I580&gt;0, ROUND((I580 / SUM($I$2:$I$817)) * ③資金配分!$B$7, -2), 0)</f>
        <v>0</v>
      </c>
    </row>
    <row r="581" spans="1:10" x14ac:dyDescent="0.4">
      <c r="A581">
        <v>6</v>
      </c>
      <c r="B581">
        <v>12</v>
      </c>
      <c r="C581">
        <v>17</v>
      </c>
      <c r="D581">
        <f>IFERROR(IF(_xlfn.XLOOKUP(A581, ①オッズ入力!$A$2:$A$19, ①オッズ入力!$D$2:$D$19, "")="", 0, _xlfn.XLOOKUP(A581, ①オッズ入力!$A$2:$A$19, ①オッズ入力!$D$2:$D$19, 0)), 0)</f>
        <v>3.2481842184578273E-2</v>
      </c>
      <c r="E581">
        <f>IFERROR(IF(_xlfn.XLOOKUP(B581, ①オッズ入力!$A$2:$A$19, ①オッズ入力!$D$2:$D$19, "")="", 0, _xlfn.XLOOKUP(B581, ①オッズ入力!$A$2:$A$19, ①オッズ入力!$D$2:$D$19, 0)), 0)</f>
        <v>1.4887511001265043E-2</v>
      </c>
      <c r="F581">
        <f>IFERROR(IF(_xlfn.XLOOKUP(C581, ①オッズ入力!$A$2:$A$19, ①オッズ入力!$D$2:$D$19, "")="", 0, _xlfn.XLOOKUP(C581, ①オッズ入力!$A$2:$A$19, ①オッズ入力!$D$2:$D$19, 0)), 0)</f>
        <v>9.1615452315477186E-3</v>
      </c>
      <c r="G581">
        <f t="shared" si="18"/>
        <v>225719.21047173912</v>
      </c>
      <c r="H581">
        <f>IF(G581="", 0, IF(OR(A581=③資金配分!$D$1, A581=③資金配分!$D$2, B581=③資金配分!$D$1, B581=③資金配分!$D$2, C581=③資金配分!$D$1, C581=③資金配分!$D$2), 0, IF(OR(A581=③資金配分!$D$4, A581=③資金配分!$D$5, A581=③資金配分!$D$6, B581=③資金配分!$D$4, B581=③資金配分!$D$5, B581=③資金配分!$D$6, C581=③資金配分!$D$4, C581=③資金配分!$D$5, C581=③資金配分!$D$6), 0, IF(AND(③資金配分!$B$8&gt;0, G581&lt;=③資金配分!$B$8), 1, 0))))</f>
        <v>0</v>
      </c>
      <c r="I581">
        <f t="shared" si="19"/>
        <v>0</v>
      </c>
      <c r="J581">
        <f>IF(I581&gt;0, ROUND((I581 / SUM($I$2:$I$817)) * ③資金配分!$B$7, -2), 0)</f>
        <v>0</v>
      </c>
    </row>
    <row r="582" spans="1:10" x14ac:dyDescent="0.4">
      <c r="A582">
        <v>6</v>
      </c>
      <c r="B582">
        <v>12</v>
      </c>
      <c r="C582">
        <v>18</v>
      </c>
      <c r="D582">
        <f>IFERROR(IF(_xlfn.XLOOKUP(A582, ①オッズ入力!$A$2:$A$19, ①オッズ入力!$D$2:$D$19, "")="", 0, _xlfn.XLOOKUP(A582, ①オッズ入力!$A$2:$A$19, ①オッズ入力!$D$2:$D$19, 0)), 0)</f>
        <v>3.2481842184578273E-2</v>
      </c>
      <c r="E582">
        <f>IFERROR(IF(_xlfn.XLOOKUP(B582, ①オッズ入力!$A$2:$A$19, ①オッズ入力!$D$2:$D$19, "")="", 0, _xlfn.XLOOKUP(B582, ①オッズ入力!$A$2:$A$19, ①オッズ入力!$D$2:$D$19, 0)), 0)</f>
        <v>1.4887511001265043E-2</v>
      </c>
      <c r="F582">
        <f>IFERROR(IF(_xlfn.XLOOKUP(C582, ①オッズ入力!$A$2:$A$19, ①オッズ入力!$D$2:$D$19, "")="", 0, _xlfn.XLOOKUP(C582, ①オッズ入力!$A$2:$A$19, ①オッズ入力!$D$2:$D$19, 0)), 0)</f>
        <v>8.5478532064679671E-3</v>
      </c>
      <c r="G582">
        <f t="shared" si="18"/>
        <v>241924.69224919737</v>
      </c>
      <c r="H582">
        <f>IF(G582="", 0, IF(OR(A582=③資金配分!$D$1, A582=③資金配分!$D$2, B582=③資金配分!$D$1, B582=③資金配分!$D$2, C582=③資金配分!$D$1, C582=③資金配分!$D$2), 0, IF(OR(A582=③資金配分!$D$4, A582=③資金配分!$D$5, A582=③資金配分!$D$6, B582=③資金配分!$D$4, B582=③資金配分!$D$5, B582=③資金配分!$D$6, C582=③資金配分!$D$4, C582=③資金配分!$D$5, C582=③資金配分!$D$6), 0, IF(AND(③資金配分!$B$8&gt;0, G582&lt;=③資金配分!$B$8), 1, 0))))</f>
        <v>0</v>
      </c>
      <c r="I582">
        <f t="shared" si="19"/>
        <v>0</v>
      </c>
      <c r="J582">
        <f>IF(I582&gt;0, ROUND((I582 / SUM($I$2:$I$817)) * ③資金配分!$B$7, -2), 0)</f>
        <v>0</v>
      </c>
    </row>
    <row r="583" spans="1:10" x14ac:dyDescent="0.4">
      <c r="A583">
        <v>6</v>
      </c>
      <c r="B583">
        <v>13</v>
      </c>
      <c r="C583">
        <v>14</v>
      </c>
      <c r="D583">
        <f>IFERROR(IF(_xlfn.XLOOKUP(A583, ①オッズ入力!$A$2:$A$19, ①オッズ入力!$D$2:$D$19, "")="", 0, _xlfn.XLOOKUP(A583, ①オッズ入力!$A$2:$A$19, ①オッズ入力!$D$2:$D$19, 0)), 0)</f>
        <v>3.2481842184578273E-2</v>
      </c>
      <c r="E583">
        <f>IFERROR(IF(_xlfn.XLOOKUP(B583, ①オッズ入力!$A$2:$A$19, ①オッズ入力!$D$2:$D$19, "")="", 0, _xlfn.XLOOKUP(B583, ①オッズ入力!$A$2:$A$19, ①オッズ入力!$D$2:$D$19, 0)), 0)</f>
        <v>1.2760723715370036E-2</v>
      </c>
      <c r="F583">
        <f>IFERROR(IF(_xlfn.XLOOKUP(C583, ①オッズ入力!$A$2:$A$19, ①オッズ入力!$D$2:$D$19, "")="", 0, _xlfn.XLOOKUP(C583, ①オッズ入力!$A$2:$A$19, ①オッズ入力!$D$2:$D$19, 0)), 0)</f>
        <v>1.1525814968721322E-2</v>
      </c>
      <c r="G583">
        <f t="shared" si="18"/>
        <v>209320.80629216839</v>
      </c>
      <c r="H583">
        <f>IF(G583="", 0, IF(OR(A583=③資金配分!$D$1, A583=③資金配分!$D$2, B583=③資金配分!$D$1, B583=③資金配分!$D$2, C583=③資金配分!$D$1, C583=③資金配分!$D$2), 0, IF(OR(A583=③資金配分!$D$4, A583=③資金配分!$D$5, A583=③資金配分!$D$6, B583=③資金配分!$D$4, B583=③資金配分!$D$5, B583=③資金配分!$D$6, C583=③資金配分!$D$4, C583=③資金配分!$D$5, C583=③資金配分!$D$6), 0, IF(AND(③資金配分!$B$8&gt;0, G583&lt;=③資金配分!$B$8), 1, 0))))</f>
        <v>0</v>
      </c>
      <c r="I583">
        <f t="shared" si="19"/>
        <v>0</v>
      </c>
      <c r="J583">
        <f>IF(I583&gt;0, ROUND((I583 / SUM($I$2:$I$817)) * ③資金配分!$B$7, -2), 0)</f>
        <v>0</v>
      </c>
    </row>
    <row r="584" spans="1:10" x14ac:dyDescent="0.4">
      <c r="A584">
        <v>6</v>
      </c>
      <c r="B584">
        <v>13</v>
      </c>
      <c r="C584">
        <v>15</v>
      </c>
      <c r="D584">
        <f>IFERROR(IF(_xlfn.XLOOKUP(A584, ①オッズ入力!$A$2:$A$19, ①オッズ入力!$D$2:$D$19, "")="", 0, _xlfn.XLOOKUP(A584, ①オッズ入力!$A$2:$A$19, ①オッズ入力!$D$2:$D$19, 0)), 0)</f>
        <v>3.2481842184578273E-2</v>
      </c>
      <c r="E584">
        <f>IFERROR(IF(_xlfn.XLOOKUP(B584, ①オッズ入力!$A$2:$A$19, ①オッズ入力!$D$2:$D$19, "")="", 0, _xlfn.XLOOKUP(B584, ①オッズ入力!$A$2:$A$19, ①オッズ入力!$D$2:$D$19, 0)), 0)</f>
        <v>1.2760723715370036E-2</v>
      </c>
      <c r="F584">
        <f>IFERROR(IF(_xlfn.XLOOKUP(C584, ①オッズ入力!$A$2:$A$19, ①オッズ入力!$D$2:$D$19, "")="", 0, _xlfn.XLOOKUP(C584, ①オッズ入力!$A$2:$A$19, ①オッズ入力!$D$2:$D$19, 0)), 0)</f>
        <v>1.0697612695519792E-2</v>
      </c>
      <c r="G584">
        <f t="shared" si="18"/>
        <v>225526.28806962655</v>
      </c>
      <c r="H584">
        <f>IF(G584="", 0, IF(OR(A584=③資金配分!$D$1, A584=③資金配分!$D$2, B584=③資金配分!$D$1, B584=③資金配分!$D$2, C584=③資金配分!$D$1, C584=③資金配分!$D$2), 0, IF(OR(A584=③資金配分!$D$4, A584=③資金配分!$D$5, A584=③資金配分!$D$6, B584=③資金配分!$D$4, B584=③資金配分!$D$5, B584=③資金配分!$D$6, C584=③資金配分!$D$4, C584=③資金配分!$D$5, C584=③資金配分!$D$6), 0, IF(AND(③資金配分!$B$8&gt;0, G584&lt;=③資金配分!$B$8), 1, 0))))</f>
        <v>0</v>
      </c>
      <c r="I584">
        <f t="shared" si="19"/>
        <v>0</v>
      </c>
      <c r="J584">
        <f>IF(I584&gt;0, ROUND((I584 / SUM($I$2:$I$817)) * ③資金配分!$B$7, -2), 0)</f>
        <v>0</v>
      </c>
    </row>
    <row r="585" spans="1:10" x14ac:dyDescent="0.4">
      <c r="A585">
        <v>6</v>
      </c>
      <c r="B585">
        <v>13</v>
      </c>
      <c r="C585">
        <v>16</v>
      </c>
      <c r="D585">
        <f>IFERROR(IF(_xlfn.XLOOKUP(A585, ①オッズ入力!$A$2:$A$19, ①オッズ入力!$D$2:$D$19, "")="", 0, _xlfn.XLOOKUP(A585, ①オッズ入力!$A$2:$A$19, ①オッズ入力!$D$2:$D$19, 0)), 0)</f>
        <v>3.2481842184578273E-2</v>
      </c>
      <c r="E585">
        <f>IFERROR(IF(_xlfn.XLOOKUP(B585, ①オッズ入力!$A$2:$A$19, ①オッズ入力!$D$2:$D$19, "")="", 0, _xlfn.XLOOKUP(B585, ①オッズ入力!$A$2:$A$19, ①オッズ入力!$D$2:$D$19, 0)), 0)</f>
        <v>1.2760723715370036E-2</v>
      </c>
      <c r="F585">
        <f>IFERROR(IF(_xlfn.XLOOKUP(C585, ①オッズ入力!$A$2:$A$19, ①オッズ入力!$D$2:$D$19, "")="", 0, _xlfn.XLOOKUP(C585, ①オッズ入力!$A$2:$A$19, ①オッズ入力!$D$2:$D$19, 0)), 0)</f>
        <v>9.8701730395127345E-3</v>
      </c>
      <c r="G585">
        <f t="shared" si="18"/>
        <v>244432.68347666113</v>
      </c>
      <c r="H585">
        <f>IF(G585="", 0, IF(OR(A585=③資金配分!$D$1, A585=③資金配分!$D$2, B585=③資金配分!$D$1, B585=③資金配分!$D$2, C585=③資金配分!$D$1, C585=③資金配分!$D$2), 0, IF(OR(A585=③資金配分!$D$4, A585=③資金配分!$D$5, A585=③資金配分!$D$6, B585=③資金配分!$D$4, B585=③資金配分!$D$5, B585=③資金配分!$D$6, C585=③資金配分!$D$4, C585=③資金配分!$D$5, C585=③資金配分!$D$6), 0, IF(AND(③資金配分!$B$8&gt;0, G585&lt;=③資金配分!$B$8), 1, 0))))</f>
        <v>0</v>
      </c>
      <c r="I585">
        <f t="shared" si="19"/>
        <v>0</v>
      </c>
      <c r="J585">
        <f>IF(I585&gt;0, ROUND((I585 / SUM($I$2:$I$817)) * ③資金配分!$B$7, -2), 0)</f>
        <v>0</v>
      </c>
    </row>
    <row r="586" spans="1:10" x14ac:dyDescent="0.4">
      <c r="A586">
        <v>6</v>
      </c>
      <c r="B586">
        <v>13</v>
      </c>
      <c r="C586">
        <v>17</v>
      </c>
      <c r="D586">
        <f>IFERROR(IF(_xlfn.XLOOKUP(A586, ①オッズ入力!$A$2:$A$19, ①オッズ入力!$D$2:$D$19, "")="", 0, _xlfn.XLOOKUP(A586, ①オッズ入力!$A$2:$A$19, ①オッズ入力!$D$2:$D$19, 0)), 0)</f>
        <v>3.2481842184578273E-2</v>
      </c>
      <c r="E586">
        <f>IFERROR(IF(_xlfn.XLOOKUP(B586, ①オッズ入力!$A$2:$A$19, ①オッズ入力!$D$2:$D$19, "")="", 0, _xlfn.XLOOKUP(B586, ①オッズ入力!$A$2:$A$19, ①オッズ入力!$D$2:$D$19, 0)), 0)</f>
        <v>1.2760723715370036E-2</v>
      </c>
      <c r="F586">
        <f>IFERROR(IF(_xlfn.XLOOKUP(C586, ①オッズ入力!$A$2:$A$19, ①オッズ入力!$D$2:$D$19, "")="", 0, _xlfn.XLOOKUP(C586, ①オッズ入力!$A$2:$A$19, ①オッズ入力!$D$2:$D$19, 0)), 0)</f>
        <v>9.1615452315477186E-3</v>
      </c>
      <c r="G586">
        <f t="shared" si="18"/>
        <v>263339.07888369571</v>
      </c>
      <c r="H586">
        <f>IF(G586="", 0, IF(OR(A586=③資金配分!$D$1, A586=③資金配分!$D$2, B586=③資金配分!$D$1, B586=③資金配分!$D$2, C586=③資金配分!$D$1, C586=③資金配分!$D$2), 0, IF(OR(A586=③資金配分!$D$4, A586=③資金配分!$D$5, A586=③資金配分!$D$6, B586=③資金配分!$D$4, B586=③資金配分!$D$5, B586=③資金配分!$D$6, C586=③資金配分!$D$4, C586=③資金配分!$D$5, C586=③資金配分!$D$6), 0, IF(AND(③資金配分!$B$8&gt;0, G586&lt;=③資金配分!$B$8), 1, 0))))</f>
        <v>0</v>
      </c>
      <c r="I586">
        <f t="shared" si="19"/>
        <v>0</v>
      </c>
      <c r="J586">
        <f>IF(I586&gt;0, ROUND((I586 / SUM($I$2:$I$817)) * ③資金配分!$B$7, -2), 0)</f>
        <v>0</v>
      </c>
    </row>
    <row r="587" spans="1:10" x14ac:dyDescent="0.4">
      <c r="A587">
        <v>6</v>
      </c>
      <c r="B587">
        <v>13</v>
      </c>
      <c r="C587">
        <v>18</v>
      </c>
      <c r="D587">
        <f>IFERROR(IF(_xlfn.XLOOKUP(A587, ①オッズ入力!$A$2:$A$19, ①オッズ入力!$D$2:$D$19, "")="", 0, _xlfn.XLOOKUP(A587, ①オッズ入力!$A$2:$A$19, ①オッズ入力!$D$2:$D$19, 0)), 0)</f>
        <v>3.2481842184578273E-2</v>
      </c>
      <c r="E587">
        <f>IFERROR(IF(_xlfn.XLOOKUP(B587, ①オッズ入力!$A$2:$A$19, ①オッズ入力!$D$2:$D$19, "")="", 0, _xlfn.XLOOKUP(B587, ①オッズ入力!$A$2:$A$19, ①オッズ入力!$D$2:$D$19, 0)), 0)</f>
        <v>1.2760723715370036E-2</v>
      </c>
      <c r="F587">
        <f>IFERROR(IF(_xlfn.XLOOKUP(C587, ①オッズ入力!$A$2:$A$19, ①オッズ入力!$D$2:$D$19, "")="", 0, _xlfn.XLOOKUP(C587, ①オッズ入力!$A$2:$A$19, ①オッズ入力!$D$2:$D$19, 0)), 0)</f>
        <v>8.5478532064679671E-3</v>
      </c>
      <c r="G587">
        <f t="shared" si="18"/>
        <v>282245.47429073026</v>
      </c>
      <c r="H587">
        <f>IF(G587="", 0, IF(OR(A587=③資金配分!$D$1, A587=③資金配分!$D$2, B587=③資金配分!$D$1, B587=③資金配分!$D$2, C587=③資金配分!$D$1, C587=③資金配分!$D$2), 0, IF(OR(A587=③資金配分!$D$4, A587=③資金配分!$D$5, A587=③資金配分!$D$6, B587=③資金配分!$D$4, B587=③資金配分!$D$5, B587=③資金配分!$D$6, C587=③資金配分!$D$4, C587=③資金配分!$D$5, C587=③資金配分!$D$6), 0, IF(AND(③資金配分!$B$8&gt;0, G587&lt;=③資金配分!$B$8), 1, 0))))</f>
        <v>0</v>
      </c>
      <c r="I587">
        <f t="shared" si="19"/>
        <v>0</v>
      </c>
      <c r="J587">
        <f>IF(I587&gt;0, ROUND((I587 / SUM($I$2:$I$817)) * ③資金配分!$B$7, -2), 0)</f>
        <v>0</v>
      </c>
    </row>
    <row r="588" spans="1:10" x14ac:dyDescent="0.4">
      <c r="A588">
        <v>6</v>
      </c>
      <c r="B588">
        <v>14</v>
      </c>
      <c r="C588">
        <v>15</v>
      </c>
      <c r="D588">
        <f>IFERROR(IF(_xlfn.XLOOKUP(A588, ①オッズ入力!$A$2:$A$19, ①オッズ入力!$D$2:$D$19, "")="", 0, _xlfn.XLOOKUP(A588, ①オッズ入力!$A$2:$A$19, ①オッズ入力!$D$2:$D$19, 0)), 0)</f>
        <v>3.2481842184578273E-2</v>
      </c>
      <c r="E588">
        <f>IFERROR(IF(_xlfn.XLOOKUP(B588, ①オッズ入力!$A$2:$A$19, ①オッズ入力!$D$2:$D$19, "")="", 0, _xlfn.XLOOKUP(B588, ①オッズ入力!$A$2:$A$19, ①オッズ入力!$D$2:$D$19, 0)), 0)</f>
        <v>1.1525814968721322E-2</v>
      </c>
      <c r="F588">
        <f>IFERROR(IF(_xlfn.XLOOKUP(C588, ①オッズ入力!$A$2:$A$19, ①オッズ入力!$D$2:$D$19, "")="", 0, _xlfn.XLOOKUP(C588, ①オッズ入力!$A$2:$A$19, ①オッズ入力!$D$2:$D$19, 0)), 0)</f>
        <v>1.0697612695519792E-2</v>
      </c>
      <c r="G588">
        <f t="shared" si="18"/>
        <v>249689.81893422938</v>
      </c>
      <c r="H588">
        <f>IF(G588="", 0, IF(OR(A588=③資金配分!$D$1, A588=③資金配分!$D$2, B588=③資金配分!$D$1, B588=③資金配分!$D$2, C588=③資金配分!$D$1, C588=③資金配分!$D$2), 0, IF(OR(A588=③資金配分!$D$4, A588=③資金配分!$D$5, A588=③資金配分!$D$6, B588=③資金配分!$D$4, B588=③資金配分!$D$5, B588=③資金配分!$D$6, C588=③資金配分!$D$4, C588=③資金配分!$D$5, C588=③資金配分!$D$6), 0, IF(AND(③資金配分!$B$8&gt;0, G588&lt;=③資金配分!$B$8), 1, 0))))</f>
        <v>0</v>
      </c>
      <c r="I588">
        <f t="shared" si="19"/>
        <v>0</v>
      </c>
      <c r="J588">
        <f>IF(I588&gt;0, ROUND((I588 / SUM($I$2:$I$817)) * ③資金配分!$B$7, -2), 0)</f>
        <v>0</v>
      </c>
    </row>
    <row r="589" spans="1:10" x14ac:dyDescent="0.4">
      <c r="A589">
        <v>6</v>
      </c>
      <c r="B589">
        <v>14</v>
      </c>
      <c r="C589">
        <v>16</v>
      </c>
      <c r="D589">
        <f>IFERROR(IF(_xlfn.XLOOKUP(A589, ①オッズ入力!$A$2:$A$19, ①オッズ入力!$D$2:$D$19, "")="", 0, _xlfn.XLOOKUP(A589, ①オッズ入力!$A$2:$A$19, ①オッズ入力!$D$2:$D$19, 0)), 0)</f>
        <v>3.2481842184578273E-2</v>
      </c>
      <c r="E589">
        <f>IFERROR(IF(_xlfn.XLOOKUP(B589, ①オッズ入力!$A$2:$A$19, ①オッズ入力!$D$2:$D$19, "")="", 0, _xlfn.XLOOKUP(B589, ①オッズ入力!$A$2:$A$19, ①オッズ入力!$D$2:$D$19, 0)), 0)</f>
        <v>1.1525814968721322E-2</v>
      </c>
      <c r="F589">
        <f>IFERROR(IF(_xlfn.XLOOKUP(C589, ①オッズ入力!$A$2:$A$19, ①オッズ入力!$D$2:$D$19, "")="", 0, _xlfn.XLOOKUP(C589, ①オッズ入力!$A$2:$A$19, ①オッズ入力!$D$2:$D$19, 0)), 0)</f>
        <v>9.8701730395127345E-3</v>
      </c>
      <c r="G589">
        <f t="shared" si="18"/>
        <v>270621.89956344629</v>
      </c>
      <c r="H589">
        <f>IF(G589="", 0, IF(OR(A589=③資金配分!$D$1, A589=③資金配分!$D$2, B589=③資金配分!$D$1, B589=③資金配分!$D$2, C589=③資金配分!$D$1, C589=③資金配分!$D$2), 0, IF(OR(A589=③資金配分!$D$4, A589=③資金配分!$D$5, A589=③資金配分!$D$6, B589=③資金配分!$D$4, B589=③資金配分!$D$5, B589=③資金配分!$D$6, C589=③資金配分!$D$4, C589=③資金配分!$D$5, C589=③資金配分!$D$6), 0, IF(AND(③資金配分!$B$8&gt;0, G589&lt;=③資金配分!$B$8), 1, 0))))</f>
        <v>0</v>
      </c>
      <c r="I589">
        <f t="shared" si="19"/>
        <v>0</v>
      </c>
      <c r="J589">
        <f>IF(I589&gt;0, ROUND((I589 / SUM($I$2:$I$817)) * ③資金配分!$B$7, -2), 0)</f>
        <v>0</v>
      </c>
    </row>
    <row r="590" spans="1:10" x14ac:dyDescent="0.4">
      <c r="A590">
        <v>6</v>
      </c>
      <c r="B590">
        <v>14</v>
      </c>
      <c r="C590">
        <v>17</v>
      </c>
      <c r="D590">
        <f>IFERROR(IF(_xlfn.XLOOKUP(A590, ①オッズ入力!$A$2:$A$19, ①オッズ入力!$D$2:$D$19, "")="", 0, _xlfn.XLOOKUP(A590, ①オッズ入力!$A$2:$A$19, ①オッズ入力!$D$2:$D$19, 0)), 0)</f>
        <v>3.2481842184578273E-2</v>
      </c>
      <c r="E590">
        <f>IFERROR(IF(_xlfn.XLOOKUP(B590, ①オッズ入力!$A$2:$A$19, ①オッズ入力!$D$2:$D$19, "")="", 0, _xlfn.XLOOKUP(B590, ①オッズ入力!$A$2:$A$19, ①オッズ入力!$D$2:$D$19, 0)), 0)</f>
        <v>1.1525814968721322E-2</v>
      </c>
      <c r="F590">
        <f>IFERROR(IF(_xlfn.XLOOKUP(C590, ①オッズ入力!$A$2:$A$19, ①オッズ入力!$D$2:$D$19, "")="", 0, _xlfn.XLOOKUP(C590, ①オッズ入力!$A$2:$A$19, ①オッズ入力!$D$2:$D$19, 0)), 0)</f>
        <v>9.1615452315477186E-3</v>
      </c>
      <c r="G590">
        <f t="shared" si="18"/>
        <v>291553.98019266303</v>
      </c>
      <c r="H590">
        <f>IF(G590="", 0, IF(OR(A590=③資金配分!$D$1, A590=③資金配分!$D$2, B590=③資金配分!$D$1, B590=③資金配分!$D$2, C590=③資金配分!$D$1, C590=③資金配分!$D$2), 0, IF(OR(A590=③資金配分!$D$4, A590=③資金配分!$D$5, A590=③資金配分!$D$6, B590=③資金配分!$D$4, B590=③資金配分!$D$5, B590=③資金配分!$D$6, C590=③資金配分!$D$4, C590=③資金配分!$D$5, C590=③資金配分!$D$6), 0, IF(AND(③資金配分!$B$8&gt;0, G590&lt;=③資金配分!$B$8), 1, 0))))</f>
        <v>0</v>
      </c>
      <c r="I590">
        <f t="shared" si="19"/>
        <v>0</v>
      </c>
      <c r="J590">
        <f>IF(I590&gt;0, ROUND((I590 / SUM($I$2:$I$817)) * ③資金配分!$B$7, -2), 0)</f>
        <v>0</v>
      </c>
    </row>
    <row r="591" spans="1:10" x14ac:dyDescent="0.4">
      <c r="A591">
        <v>6</v>
      </c>
      <c r="B591">
        <v>14</v>
      </c>
      <c r="C591">
        <v>18</v>
      </c>
      <c r="D591">
        <f>IFERROR(IF(_xlfn.XLOOKUP(A591, ①オッズ入力!$A$2:$A$19, ①オッズ入力!$D$2:$D$19, "")="", 0, _xlfn.XLOOKUP(A591, ①オッズ入力!$A$2:$A$19, ①オッズ入力!$D$2:$D$19, 0)), 0)</f>
        <v>3.2481842184578273E-2</v>
      </c>
      <c r="E591">
        <f>IFERROR(IF(_xlfn.XLOOKUP(B591, ①オッズ入力!$A$2:$A$19, ①オッズ入力!$D$2:$D$19, "")="", 0, _xlfn.XLOOKUP(B591, ①オッズ入力!$A$2:$A$19, ①オッズ入力!$D$2:$D$19, 0)), 0)</f>
        <v>1.1525814968721322E-2</v>
      </c>
      <c r="F591">
        <f>IFERROR(IF(_xlfn.XLOOKUP(C591, ①オッズ入力!$A$2:$A$19, ①オッズ入力!$D$2:$D$19, "")="", 0, _xlfn.XLOOKUP(C591, ①オッズ入力!$A$2:$A$19, ①オッズ入力!$D$2:$D$19, 0)), 0)</f>
        <v>8.5478532064679671E-3</v>
      </c>
      <c r="G591">
        <f t="shared" si="18"/>
        <v>312486.06082187989</v>
      </c>
      <c r="H591">
        <f>IF(G591="", 0, IF(OR(A591=③資金配分!$D$1, A591=③資金配分!$D$2, B591=③資金配分!$D$1, B591=③資金配分!$D$2, C591=③資金配分!$D$1, C591=③資金配分!$D$2), 0, IF(OR(A591=③資金配分!$D$4, A591=③資金配分!$D$5, A591=③資金配分!$D$6, B591=③資金配分!$D$4, B591=③資金配分!$D$5, B591=③資金配分!$D$6, C591=③資金配分!$D$4, C591=③資金配分!$D$5, C591=③資金配分!$D$6), 0, IF(AND(③資金配分!$B$8&gt;0, G591&lt;=③資金配分!$B$8), 1, 0))))</f>
        <v>0</v>
      </c>
      <c r="I591">
        <f t="shared" si="19"/>
        <v>0</v>
      </c>
      <c r="J591">
        <f>IF(I591&gt;0, ROUND((I591 / SUM($I$2:$I$817)) * ③資金配分!$B$7, -2), 0)</f>
        <v>0</v>
      </c>
    </row>
    <row r="592" spans="1:10" x14ac:dyDescent="0.4">
      <c r="A592">
        <v>6</v>
      </c>
      <c r="B592">
        <v>15</v>
      </c>
      <c r="C592">
        <v>16</v>
      </c>
      <c r="D592">
        <f>IFERROR(IF(_xlfn.XLOOKUP(A592, ①オッズ入力!$A$2:$A$19, ①オッズ入力!$D$2:$D$19, "")="", 0, _xlfn.XLOOKUP(A592, ①オッズ入力!$A$2:$A$19, ①オッズ入力!$D$2:$D$19, 0)), 0)</f>
        <v>3.2481842184578273E-2</v>
      </c>
      <c r="E592">
        <f>IFERROR(IF(_xlfn.XLOOKUP(B592, ①オッズ入力!$A$2:$A$19, ①オッズ入力!$D$2:$D$19, "")="", 0, _xlfn.XLOOKUP(B592, ①オッズ入力!$A$2:$A$19, ①オッズ入力!$D$2:$D$19, 0)), 0)</f>
        <v>1.0697612695519792E-2</v>
      </c>
      <c r="F592">
        <f>IFERROR(IF(_xlfn.XLOOKUP(C592, ①オッズ入力!$A$2:$A$19, ①オッズ入力!$D$2:$D$19, "")="", 0, _xlfn.XLOOKUP(C592, ①オッズ入力!$A$2:$A$19, ①オッズ入力!$D$2:$D$19, 0)), 0)</f>
        <v>9.8701730395127345E-3</v>
      </c>
      <c r="G592">
        <f t="shared" si="18"/>
        <v>291573.27243287436</v>
      </c>
      <c r="H592">
        <f>IF(G592="", 0, IF(OR(A592=③資金配分!$D$1, A592=③資金配分!$D$2, B592=③資金配分!$D$1, B592=③資金配分!$D$2, C592=③資金配分!$D$1, C592=③資金配分!$D$2), 0, IF(OR(A592=③資金配分!$D$4, A592=③資金配分!$D$5, A592=③資金配分!$D$6, B592=③資金配分!$D$4, B592=③資金配分!$D$5, B592=③資金配分!$D$6, C592=③資金配分!$D$4, C592=③資金配分!$D$5, C592=③資金配分!$D$6), 0, IF(AND(③資金配分!$B$8&gt;0, G592&lt;=③資金配分!$B$8), 1, 0))))</f>
        <v>0</v>
      </c>
      <c r="I592">
        <f t="shared" si="19"/>
        <v>0</v>
      </c>
      <c r="J592">
        <f>IF(I592&gt;0, ROUND((I592 / SUM($I$2:$I$817)) * ③資金配分!$B$7, -2), 0)</f>
        <v>0</v>
      </c>
    </row>
    <row r="593" spans="1:10" x14ac:dyDescent="0.4">
      <c r="A593">
        <v>6</v>
      </c>
      <c r="B593">
        <v>15</v>
      </c>
      <c r="C593">
        <v>17</v>
      </c>
      <c r="D593">
        <f>IFERROR(IF(_xlfn.XLOOKUP(A593, ①オッズ入力!$A$2:$A$19, ①オッズ入力!$D$2:$D$19, "")="", 0, _xlfn.XLOOKUP(A593, ①オッズ入力!$A$2:$A$19, ①オッズ入力!$D$2:$D$19, 0)), 0)</f>
        <v>3.2481842184578273E-2</v>
      </c>
      <c r="E593">
        <f>IFERROR(IF(_xlfn.XLOOKUP(B593, ①オッズ入力!$A$2:$A$19, ①オッズ入力!$D$2:$D$19, "")="", 0, _xlfn.XLOOKUP(B593, ①オッズ入力!$A$2:$A$19, ①オッズ入力!$D$2:$D$19, 0)), 0)</f>
        <v>1.0697612695519792E-2</v>
      </c>
      <c r="F593">
        <f>IFERROR(IF(_xlfn.XLOOKUP(C593, ①オッズ入力!$A$2:$A$19, ①オッズ入力!$D$2:$D$19, "")="", 0, _xlfn.XLOOKUP(C593, ①オッズ入力!$A$2:$A$19, ①オッズ入力!$D$2:$D$19, 0)), 0)</f>
        <v>9.1615452315477186E-3</v>
      </c>
      <c r="G593">
        <f t="shared" si="18"/>
        <v>314125.901239837</v>
      </c>
      <c r="H593">
        <f>IF(G593="", 0, IF(OR(A593=③資金配分!$D$1, A593=③資金配分!$D$2, B593=③資金配分!$D$1, B593=③資金配分!$D$2, C593=③資金配分!$D$1, C593=③資金配分!$D$2), 0, IF(OR(A593=③資金配分!$D$4, A593=③資金配分!$D$5, A593=③資金配分!$D$6, B593=③資金配分!$D$4, B593=③資金配分!$D$5, B593=③資金配分!$D$6, C593=③資金配分!$D$4, C593=③資金配分!$D$5, C593=③資金配分!$D$6), 0, IF(AND(③資金配分!$B$8&gt;0, G593&lt;=③資金配分!$B$8), 1, 0))))</f>
        <v>0</v>
      </c>
      <c r="I593">
        <f t="shared" si="19"/>
        <v>0</v>
      </c>
      <c r="J593">
        <f>IF(I593&gt;0, ROUND((I593 / SUM($I$2:$I$817)) * ③資金配分!$B$7, -2), 0)</f>
        <v>0</v>
      </c>
    </row>
    <row r="594" spans="1:10" x14ac:dyDescent="0.4">
      <c r="A594">
        <v>6</v>
      </c>
      <c r="B594">
        <v>15</v>
      </c>
      <c r="C594">
        <v>18</v>
      </c>
      <c r="D594">
        <f>IFERROR(IF(_xlfn.XLOOKUP(A594, ①オッズ入力!$A$2:$A$19, ①オッズ入力!$D$2:$D$19, "")="", 0, _xlfn.XLOOKUP(A594, ①オッズ入力!$A$2:$A$19, ①オッズ入力!$D$2:$D$19, 0)), 0)</f>
        <v>3.2481842184578273E-2</v>
      </c>
      <c r="E594">
        <f>IFERROR(IF(_xlfn.XLOOKUP(B594, ①オッズ入力!$A$2:$A$19, ①オッズ入力!$D$2:$D$19, "")="", 0, _xlfn.XLOOKUP(B594, ①オッズ入力!$A$2:$A$19, ①オッズ入力!$D$2:$D$19, 0)), 0)</f>
        <v>1.0697612695519792E-2</v>
      </c>
      <c r="F594">
        <f>IFERROR(IF(_xlfn.XLOOKUP(C594, ①オッズ入力!$A$2:$A$19, ①オッズ入力!$D$2:$D$19, "")="", 0, _xlfn.XLOOKUP(C594, ①オッズ入力!$A$2:$A$19, ①オッズ入力!$D$2:$D$19, 0)), 0)</f>
        <v>8.5478532064679671E-3</v>
      </c>
      <c r="G594">
        <f t="shared" si="18"/>
        <v>336678.53004679963</v>
      </c>
      <c r="H594">
        <f>IF(G594="", 0, IF(OR(A594=③資金配分!$D$1, A594=③資金配分!$D$2, B594=③資金配分!$D$1, B594=③資金配分!$D$2, C594=③資金配分!$D$1, C594=③資金配分!$D$2), 0, IF(OR(A594=③資金配分!$D$4, A594=③資金配分!$D$5, A594=③資金配分!$D$6, B594=③資金配分!$D$4, B594=③資金配分!$D$5, B594=③資金配分!$D$6, C594=③資金配分!$D$4, C594=③資金配分!$D$5, C594=③資金配分!$D$6), 0, IF(AND(③資金配分!$B$8&gt;0, G594&lt;=③資金配分!$B$8), 1, 0))))</f>
        <v>0</v>
      </c>
      <c r="I594">
        <f t="shared" si="19"/>
        <v>0</v>
      </c>
      <c r="J594">
        <f>IF(I594&gt;0, ROUND((I594 / SUM($I$2:$I$817)) * ③資金配分!$B$7, -2), 0)</f>
        <v>0</v>
      </c>
    </row>
    <row r="595" spans="1:10" x14ac:dyDescent="0.4">
      <c r="A595">
        <v>6</v>
      </c>
      <c r="B595">
        <v>16</v>
      </c>
      <c r="C595">
        <v>17</v>
      </c>
      <c r="D595">
        <f>IFERROR(IF(_xlfn.XLOOKUP(A595, ①オッズ入力!$A$2:$A$19, ①オッズ入力!$D$2:$D$19, "")="", 0, _xlfn.XLOOKUP(A595, ①オッズ入力!$A$2:$A$19, ①オッズ入力!$D$2:$D$19, 0)), 0)</f>
        <v>3.2481842184578273E-2</v>
      </c>
      <c r="E595">
        <f>IFERROR(IF(_xlfn.XLOOKUP(B595, ①オッズ入力!$A$2:$A$19, ①オッズ入力!$D$2:$D$19, "")="", 0, _xlfn.XLOOKUP(B595, ①オッズ入力!$A$2:$A$19, ①オッズ入力!$D$2:$D$19, 0)), 0)</f>
        <v>9.8701730395127345E-3</v>
      </c>
      <c r="F595">
        <f>IFERROR(IF(_xlfn.XLOOKUP(C595, ①オッズ入力!$A$2:$A$19, ①オッズ入力!$D$2:$D$19, "")="", 0, _xlfn.XLOOKUP(C595, ①オッズ入力!$A$2:$A$19, ①オッズ入力!$D$2:$D$19, 0)), 0)</f>
        <v>9.1615452315477186E-3</v>
      </c>
      <c r="G595">
        <f t="shared" si="18"/>
        <v>340459.80912820663</v>
      </c>
      <c r="H595">
        <f>IF(G595="", 0, IF(OR(A595=③資金配分!$D$1, A595=③資金配分!$D$2, B595=③資金配分!$D$1, B595=③資金配分!$D$2, C595=③資金配分!$D$1, C595=③資金配分!$D$2), 0, IF(OR(A595=③資金配分!$D$4, A595=③資金配分!$D$5, A595=③資金配分!$D$6, B595=③資金配分!$D$4, B595=③資金配分!$D$5, B595=③資金配分!$D$6, C595=③資金配分!$D$4, C595=③資金配分!$D$5, C595=③資金配分!$D$6), 0, IF(AND(③資金配分!$B$8&gt;0, G595&lt;=③資金配分!$B$8), 1, 0))))</f>
        <v>0</v>
      </c>
      <c r="I595">
        <f t="shared" si="19"/>
        <v>0</v>
      </c>
      <c r="J595">
        <f>IF(I595&gt;0, ROUND((I595 / SUM($I$2:$I$817)) * ③資金配分!$B$7, -2), 0)</f>
        <v>0</v>
      </c>
    </row>
    <row r="596" spans="1:10" x14ac:dyDescent="0.4">
      <c r="A596">
        <v>6</v>
      </c>
      <c r="B596">
        <v>16</v>
      </c>
      <c r="C596">
        <v>18</v>
      </c>
      <c r="D596">
        <f>IFERROR(IF(_xlfn.XLOOKUP(A596, ①オッズ入力!$A$2:$A$19, ①オッズ入力!$D$2:$D$19, "")="", 0, _xlfn.XLOOKUP(A596, ①オッズ入力!$A$2:$A$19, ①オッズ入力!$D$2:$D$19, 0)), 0)</f>
        <v>3.2481842184578273E-2</v>
      </c>
      <c r="E596">
        <f>IFERROR(IF(_xlfn.XLOOKUP(B596, ①オッズ入力!$A$2:$A$19, ①オッズ入力!$D$2:$D$19, "")="", 0, _xlfn.XLOOKUP(B596, ①オッズ入力!$A$2:$A$19, ①オッズ入力!$D$2:$D$19, 0)), 0)</f>
        <v>9.8701730395127345E-3</v>
      </c>
      <c r="F596">
        <f>IFERROR(IF(_xlfn.XLOOKUP(C596, ①オッズ入力!$A$2:$A$19, ①オッズ入力!$D$2:$D$19, "")="", 0, _xlfn.XLOOKUP(C596, ①オッズ入力!$A$2:$A$19, ①オッズ入力!$D$2:$D$19, 0)), 0)</f>
        <v>8.5478532064679671E-3</v>
      </c>
      <c r="G596">
        <f t="shared" si="18"/>
        <v>364903.07747587271</v>
      </c>
      <c r="H596">
        <f>IF(G596="", 0, IF(OR(A596=③資金配分!$D$1, A596=③資金配分!$D$2, B596=③資金配分!$D$1, B596=③資金配分!$D$2, C596=③資金配分!$D$1, C596=③資金配分!$D$2), 0, IF(OR(A596=③資金配分!$D$4, A596=③資金配分!$D$5, A596=③資金配分!$D$6, B596=③資金配分!$D$4, B596=③資金配分!$D$5, B596=③資金配分!$D$6, C596=③資金配分!$D$4, C596=③資金配分!$D$5, C596=③資金配分!$D$6), 0, IF(AND(③資金配分!$B$8&gt;0, G596&lt;=③資金配分!$B$8), 1, 0))))</f>
        <v>0</v>
      </c>
      <c r="I596">
        <f t="shared" si="19"/>
        <v>0</v>
      </c>
      <c r="J596">
        <f>IF(I596&gt;0, ROUND((I596 / SUM($I$2:$I$817)) * ③資金配分!$B$7, -2), 0)</f>
        <v>0</v>
      </c>
    </row>
    <row r="597" spans="1:10" x14ac:dyDescent="0.4">
      <c r="A597">
        <v>6</v>
      </c>
      <c r="B597">
        <v>17</v>
      </c>
      <c r="C597">
        <v>18</v>
      </c>
      <c r="D597">
        <f>IFERROR(IF(_xlfn.XLOOKUP(A597, ①オッズ入力!$A$2:$A$19, ①オッズ入力!$D$2:$D$19, "")="", 0, _xlfn.XLOOKUP(A597, ①オッズ入力!$A$2:$A$19, ①オッズ入力!$D$2:$D$19, 0)), 0)</f>
        <v>3.2481842184578273E-2</v>
      </c>
      <c r="E597">
        <f>IFERROR(IF(_xlfn.XLOOKUP(B597, ①オッズ入力!$A$2:$A$19, ①オッズ入力!$D$2:$D$19, "")="", 0, _xlfn.XLOOKUP(B597, ①オッズ入力!$A$2:$A$19, ①オッズ入力!$D$2:$D$19, 0)), 0)</f>
        <v>9.1615452315477186E-3</v>
      </c>
      <c r="F597">
        <f>IFERROR(IF(_xlfn.XLOOKUP(C597, ①オッズ入力!$A$2:$A$19, ①オッズ入力!$D$2:$D$19, "")="", 0, _xlfn.XLOOKUP(C597, ①オッズ入力!$A$2:$A$19, ①オッズ入力!$D$2:$D$19, 0)), 0)</f>
        <v>8.5478532064679671E-3</v>
      </c>
      <c r="G597">
        <f t="shared" si="18"/>
        <v>393127.62490494573</v>
      </c>
      <c r="H597">
        <f>IF(G597="", 0, IF(OR(A597=③資金配分!$D$1, A597=③資金配分!$D$2, B597=③資金配分!$D$1, B597=③資金配分!$D$2, C597=③資金配分!$D$1, C597=③資金配分!$D$2), 0, IF(OR(A597=③資金配分!$D$4, A597=③資金配分!$D$5, A597=③資金配分!$D$6, B597=③資金配分!$D$4, B597=③資金配分!$D$5, B597=③資金配分!$D$6, C597=③資金配分!$D$4, C597=③資金配分!$D$5, C597=③資金配分!$D$6), 0, IF(AND(③資金配分!$B$8&gt;0, G597&lt;=③資金配分!$B$8), 1, 0))))</f>
        <v>0</v>
      </c>
      <c r="I597">
        <f t="shared" si="19"/>
        <v>0</v>
      </c>
      <c r="J597">
        <f>IF(I597&gt;0, ROUND((I597 / SUM($I$2:$I$817)) * ③資金配分!$B$7, -2), 0)</f>
        <v>0</v>
      </c>
    </row>
    <row r="598" spans="1:10" x14ac:dyDescent="0.4">
      <c r="A598">
        <v>7</v>
      </c>
      <c r="B598">
        <v>8</v>
      </c>
      <c r="C598">
        <v>9</v>
      </c>
      <c r="D598">
        <f>IFERROR(IF(_xlfn.XLOOKUP(A598, ①オッズ入力!$A$2:$A$19, ①オッズ入力!$D$2:$D$19, "")="", 0, _xlfn.XLOOKUP(A598, ①オッズ入力!$A$2:$A$19, ①オッズ入力!$D$2:$D$19, 0)), 0)</f>
        <v>2.9775022002530085E-2</v>
      </c>
      <c r="E598">
        <f>IFERROR(IF(_xlfn.XLOOKUP(B598, ①オッズ入力!$A$2:$A$19, ①オッズ入力!$D$2:$D$19, "")="", 0, _xlfn.XLOOKUP(B598, ①オッズ入力!$A$2:$A$19, ①オッズ入力!$D$2:$D$19, 0)), 0)</f>
        <v>2.3820017602024068E-2</v>
      </c>
      <c r="F598">
        <f>IFERROR(IF(_xlfn.XLOOKUP(C598, ①オッズ入力!$A$2:$A$19, ①オッズ入力!$D$2:$D$19, "")="", 0, _xlfn.XLOOKUP(C598, ①オッズ入力!$A$2:$A$19, ①オッズ入力!$D$2:$D$19, 0)), 0)</f>
        <v>1.9850014668353389E-2</v>
      </c>
      <c r="G598">
        <f t="shared" si="18"/>
        <v>71030.520777820013</v>
      </c>
      <c r="H598">
        <f>IF(G598="", 0, IF(OR(A598=③資金配分!$D$1, A598=③資金配分!$D$2, B598=③資金配分!$D$1, B598=③資金配分!$D$2, C598=③資金配分!$D$1, C598=③資金配分!$D$2), 0, IF(OR(A598=③資金配分!$D$4, A598=③資金配分!$D$5, A598=③資金配分!$D$6, B598=③資金配分!$D$4, B598=③資金配分!$D$5, B598=③資金配分!$D$6, C598=③資金配分!$D$4, C598=③資金配分!$D$5, C598=③資金配分!$D$6), 0, IF(AND(③資金配分!$B$8&gt;0, G598&lt;=③資金配分!$B$8), 1, 0))))</f>
        <v>0</v>
      </c>
      <c r="I598">
        <f t="shared" si="19"/>
        <v>0</v>
      </c>
      <c r="J598">
        <f>IF(I598&gt;0, ROUND((I598 / SUM($I$2:$I$817)) * ③資金配分!$B$7, -2), 0)</f>
        <v>0</v>
      </c>
    </row>
    <row r="599" spans="1:10" x14ac:dyDescent="0.4">
      <c r="A599">
        <v>7</v>
      </c>
      <c r="B599">
        <v>8</v>
      </c>
      <c r="C599">
        <v>10</v>
      </c>
      <c r="D599">
        <f>IFERROR(IF(_xlfn.XLOOKUP(A599, ①オッズ入力!$A$2:$A$19, ①オッズ入力!$D$2:$D$19, "")="", 0, _xlfn.XLOOKUP(A599, ①オッズ入力!$A$2:$A$19, ①オッズ入力!$D$2:$D$19, 0)), 0)</f>
        <v>2.9775022002530085E-2</v>
      </c>
      <c r="E599">
        <f>IFERROR(IF(_xlfn.XLOOKUP(B599, ①オッズ入力!$A$2:$A$19, ①オッズ入力!$D$2:$D$19, "")="", 0, _xlfn.XLOOKUP(B599, ①オッズ入力!$A$2:$A$19, ①オッズ入力!$D$2:$D$19, 0)), 0)</f>
        <v>2.3820017602024068E-2</v>
      </c>
      <c r="F599">
        <f>IFERROR(IF(_xlfn.XLOOKUP(C599, ①オッズ入力!$A$2:$A$19, ①オッズ入力!$D$2:$D$19, "")="", 0, _xlfn.XLOOKUP(C599, ①オッズ入力!$A$2:$A$19, ①オッズ入力!$D$2:$D$19, 0)), 0)</f>
        <v>1.7865013201518051E-2</v>
      </c>
      <c r="G599">
        <f t="shared" si="18"/>
        <v>78922.800864244462</v>
      </c>
      <c r="H599">
        <f>IF(G599="", 0, IF(OR(A599=③資金配分!$D$1, A599=③資金配分!$D$2, B599=③資金配分!$D$1, B599=③資金配分!$D$2, C599=③資金配分!$D$1, C599=③資金配分!$D$2), 0, IF(OR(A599=③資金配分!$D$4, A599=③資金配分!$D$5, A599=③資金配分!$D$6, B599=③資金配分!$D$4, B599=③資金配分!$D$5, B599=③資金配分!$D$6, C599=③資金配分!$D$4, C599=③資金配分!$D$5, C599=③資金配分!$D$6), 0, IF(AND(③資金配分!$B$8&gt;0, G599&lt;=③資金配分!$B$8), 1, 0))))</f>
        <v>0</v>
      </c>
      <c r="I599">
        <f t="shared" si="19"/>
        <v>0</v>
      </c>
      <c r="J599">
        <f>IF(I599&gt;0, ROUND((I599 / SUM($I$2:$I$817)) * ③資金配分!$B$7, -2), 0)</f>
        <v>0</v>
      </c>
    </row>
    <row r="600" spans="1:10" x14ac:dyDescent="0.4">
      <c r="A600">
        <v>7</v>
      </c>
      <c r="B600">
        <v>8</v>
      </c>
      <c r="C600">
        <v>11</v>
      </c>
      <c r="D600">
        <f>IFERROR(IF(_xlfn.XLOOKUP(A600, ①オッズ入力!$A$2:$A$19, ①オッズ入力!$D$2:$D$19, "")="", 0, _xlfn.XLOOKUP(A600, ①オッズ入力!$A$2:$A$19, ①オッズ入力!$D$2:$D$19, 0)), 0)</f>
        <v>2.9775022002530085E-2</v>
      </c>
      <c r="E600">
        <f>IFERROR(IF(_xlfn.XLOOKUP(B600, ①オッズ入力!$A$2:$A$19, ①オッズ入力!$D$2:$D$19, "")="", 0, _xlfn.XLOOKUP(B600, ①オッズ入力!$A$2:$A$19, ①オッズ入力!$D$2:$D$19, 0)), 0)</f>
        <v>2.3820017602024068E-2</v>
      </c>
      <c r="F600">
        <f>IFERROR(IF(_xlfn.XLOOKUP(C600, ①オッズ入力!$A$2:$A$19, ①オッズ入力!$D$2:$D$19, "")="", 0, _xlfn.XLOOKUP(C600, ①オッズ入力!$A$2:$A$19, ①オッズ入力!$D$2:$D$19, 0)), 0)</f>
        <v>1.6240921092289137E-2</v>
      </c>
      <c r="G600">
        <f t="shared" si="18"/>
        <v>86815.080950668897</v>
      </c>
      <c r="H600">
        <f>IF(G600="", 0, IF(OR(A600=③資金配分!$D$1, A600=③資金配分!$D$2, B600=③資金配分!$D$1, B600=③資金配分!$D$2, C600=③資金配分!$D$1, C600=③資金配分!$D$2), 0, IF(OR(A600=③資金配分!$D$4, A600=③資金配分!$D$5, A600=③資金配分!$D$6, B600=③資金配分!$D$4, B600=③資金配分!$D$5, B600=③資金配分!$D$6, C600=③資金配分!$D$4, C600=③資金配分!$D$5, C600=③資金配分!$D$6), 0, IF(AND(③資金配分!$B$8&gt;0, G600&lt;=③資金配分!$B$8), 1, 0))))</f>
        <v>0</v>
      </c>
      <c r="I600">
        <f t="shared" si="19"/>
        <v>0</v>
      </c>
      <c r="J600">
        <f>IF(I600&gt;0, ROUND((I600 / SUM($I$2:$I$817)) * ③資金配分!$B$7, -2), 0)</f>
        <v>0</v>
      </c>
    </row>
    <row r="601" spans="1:10" x14ac:dyDescent="0.4">
      <c r="A601">
        <v>7</v>
      </c>
      <c r="B601">
        <v>8</v>
      </c>
      <c r="C601">
        <v>12</v>
      </c>
      <c r="D601">
        <f>IFERROR(IF(_xlfn.XLOOKUP(A601, ①オッズ入力!$A$2:$A$19, ①オッズ入力!$D$2:$D$19, "")="", 0, _xlfn.XLOOKUP(A601, ①オッズ入力!$A$2:$A$19, ①オッズ入力!$D$2:$D$19, 0)), 0)</f>
        <v>2.9775022002530085E-2</v>
      </c>
      <c r="E601">
        <f>IFERROR(IF(_xlfn.XLOOKUP(B601, ①オッズ入力!$A$2:$A$19, ①オッズ入力!$D$2:$D$19, "")="", 0, _xlfn.XLOOKUP(B601, ①オッズ入力!$A$2:$A$19, ①オッズ入力!$D$2:$D$19, 0)), 0)</f>
        <v>2.3820017602024068E-2</v>
      </c>
      <c r="F601">
        <f>IFERROR(IF(_xlfn.XLOOKUP(C601, ①オッズ入力!$A$2:$A$19, ①オッズ入力!$D$2:$D$19, "")="", 0, _xlfn.XLOOKUP(C601, ①オッズ入力!$A$2:$A$19, ①オッズ入力!$D$2:$D$19, 0)), 0)</f>
        <v>1.4887511001265043E-2</v>
      </c>
      <c r="G601">
        <f t="shared" si="18"/>
        <v>94707.361037093346</v>
      </c>
      <c r="H601">
        <f>IF(G601="", 0, IF(OR(A601=③資金配分!$D$1, A601=③資金配分!$D$2, B601=③資金配分!$D$1, B601=③資金配分!$D$2, C601=③資金配分!$D$1, C601=③資金配分!$D$2), 0, IF(OR(A601=③資金配分!$D$4, A601=③資金配分!$D$5, A601=③資金配分!$D$6, B601=③資金配分!$D$4, B601=③資金配分!$D$5, B601=③資金配分!$D$6, C601=③資金配分!$D$4, C601=③資金配分!$D$5, C601=③資金配分!$D$6), 0, IF(AND(③資金配分!$B$8&gt;0, G601&lt;=③資金配分!$B$8), 1, 0))))</f>
        <v>0</v>
      </c>
      <c r="I601">
        <f t="shared" si="19"/>
        <v>0</v>
      </c>
      <c r="J601">
        <f>IF(I601&gt;0, ROUND((I601 / SUM($I$2:$I$817)) * ③資金配分!$B$7, -2), 0)</f>
        <v>0</v>
      </c>
    </row>
    <row r="602" spans="1:10" x14ac:dyDescent="0.4">
      <c r="A602">
        <v>7</v>
      </c>
      <c r="B602">
        <v>8</v>
      </c>
      <c r="C602">
        <v>13</v>
      </c>
      <c r="D602">
        <f>IFERROR(IF(_xlfn.XLOOKUP(A602, ①オッズ入力!$A$2:$A$19, ①オッズ入力!$D$2:$D$19, "")="", 0, _xlfn.XLOOKUP(A602, ①オッズ入力!$A$2:$A$19, ①オッズ入力!$D$2:$D$19, 0)), 0)</f>
        <v>2.9775022002530085E-2</v>
      </c>
      <c r="E602">
        <f>IFERROR(IF(_xlfn.XLOOKUP(B602, ①オッズ入力!$A$2:$A$19, ①オッズ入力!$D$2:$D$19, "")="", 0, _xlfn.XLOOKUP(B602, ①オッズ入力!$A$2:$A$19, ①オッズ入力!$D$2:$D$19, 0)), 0)</f>
        <v>2.3820017602024068E-2</v>
      </c>
      <c r="F602">
        <f>IFERROR(IF(_xlfn.XLOOKUP(C602, ①オッズ入力!$A$2:$A$19, ①オッズ入力!$D$2:$D$19, "")="", 0, _xlfn.XLOOKUP(C602, ①オッズ入力!$A$2:$A$19, ①オッズ入力!$D$2:$D$19, 0)), 0)</f>
        <v>1.2760723715370036E-2</v>
      </c>
      <c r="G602">
        <f t="shared" si="18"/>
        <v>110491.92120994226</v>
      </c>
      <c r="H602">
        <f>IF(G602="", 0, IF(OR(A602=③資金配分!$D$1, A602=③資金配分!$D$2, B602=③資金配分!$D$1, B602=③資金配分!$D$2, C602=③資金配分!$D$1, C602=③資金配分!$D$2), 0, IF(OR(A602=③資金配分!$D$4, A602=③資金配分!$D$5, A602=③資金配分!$D$6, B602=③資金配分!$D$4, B602=③資金配分!$D$5, B602=③資金配分!$D$6, C602=③資金配分!$D$4, C602=③資金配分!$D$5, C602=③資金配分!$D$6), 0, IF(AND(③資金配分!$B$8&gt;0, G602&lt;=③資金配分!$B$8), 1, 0))))</f>
        <v>0</v>
      </c>
      <c r="I602">
        <f t="shared" si="19"/>
        <v>0</v>
      </c>
      <c r="J602">
        <f>IF(I602&gt;0, ROUND((I602 / SUM($I$2:$I$817)) * ③資金配分!$B$7, -2), 0)</f>
        <v>0</v>
      </c>
    </row>
    <row r="603" spans="1:10" x14ac:dyDescent="0.4">
      <c r="A603">
        <v>7</v>
      </c>
      <c r="B603">
        <v>8</v>
      </c>
      <c r="C603">
        <v>14</v>
      </c>
      <c r="D603">
        <f>IFERROR(IF(_xlfn.XLOOKUP(A603, ①オッズ入力!$A$2:$A$19, ①オッズ入力!$D$2:$D$19, "")="", 0, _xlfn.XLOOKUP(A603, ①オッズ入力!$A$2:$A$19, ①オッズ入力!$D$2:$D$19, 0)), 0)</f>
        <v>2.9775022002530085E-2</v>
      </c>
      <c r="E603">
        <f>IFERROR(IF(_xlfn.XLOOKUP(B603, ①オッズ入力!$A$2:$A$19, ①オッズ入力!$D$2:$D$19, "")="", 0, _xlfn.XLOOKUP(B603, ①オッズ入力!$A$2:$A$19, ①オッズ入力!$D$2:$D$19, 0)), 0)</f>
        <v>2.3820017602024068E-2</v>
      </c>
      <c r="F603">
        <f>IFERROR(IF(_xlfn.XLOOKUP(C603, ①オッズ入力!$A$2:$A$19, ①オッズ入力!$D$2:$D$19, "")="", 0, _xlfn.XLOOKUP(C603, ①オッズ入力!$A$2:$A$19, ①オッズ入力!$D$2:$D$19, 0)), 0)</f>
        <v>1.1525814968721322E-2</v>
      </c>
      <c r="G603">
        <f t="shared" si="18"/>
        <v>122330.34133957892</v>
      </c>
      <c r="H603">
        <f>IF(G603="", 0, IF(OR(A603=③資金配分!$D$1, A603=③資金配分!$D$2, B603=③資金配分!$D$1, B603=③資金配分!$D$2, C603=③資金配分!$D$1, C603=③資金配分!$D$2), 0, IF(OR(A603=③資金配分!$D$4, A603=③資金配分!$D$5, A603=③資金配分!$D$6, B603=③資金配分!$D$4, B603=③資金配分!$D$5, B603=③資金配分!$D$6, C603=③資金配分!$D$4, C603=③資金配分!$D$5, C603=③資金配分!$D$6), 0, IF(AND(③資金配分!$B$8&gt;0, G603&lt;=③資金配分!$B$8), 1, 0))))</f>
        <v>0</v>
      </c>
      <c r="I603">
        <f t="shared" si="19"/>
        <v>0</v>
      </c>
      <c r="J603">
        <f>IF(I603&gt;0, ROUND((I603 / SUM($I$2:$I$817)) * ③資金配分!$B$7, -2), 0)</f>
        <v>0</v>
      </c>
    </row>
    <row r="604" spans="1:10" x14ac:dyDescent="0.4">
      <c r="A604">
        <v>7</v>
      </c>
      <c r="B604">
        <v>8</v>
      </c>
      <c r="C604">
        <v>15</v>
      </c>
      <c r="D604">
        <f>IFERROR(IF(_xlfn.XLOOKUP(A604, ①オッズ入力!$A$2:$A$19, ①オッズ入力!$D$2:$D$19, "")="", 0, _xlfn.XLOOKUP(A604, ①オッズ入力!$A$2:$A$19, ①オッズ入力!$D$2:$D$19, 0)), 0)</f>
        <v>2.9775022002530085E-2</v>
      </c>
      <c r="E604">
        <f>IFERROR(IF(_xlfn.XLOOKUP(B604, ①オッズ入力!$A$2:$A$19, ①オッズ入力!$D$2:$D$19, "")="", 0, _xlfn.XLOOKUP(B604, ①オッズ入力!$A$2:$A$19, ①オッズ入力!$D$2:$D$19, 0)), 0)</f>
        <v>2.3820017602024068E-2</v>
      </c>
      <c r="F604">
        <f>IFERROR(IF(_xlfn.XLOOKUP(C604, ①オッズ入力!$A$2:$A$19, ①オッズ入力!$D$2:$D$19, "")="", 0, _xlfn.XLOOKUP(C604, ①オッズ入力!$A$2:$A$19, ①オッズ入力!$D$2:$D$19, 0)), 0)</f>
        <v>1.0697612695519792E-2</v>
      </c>
      <c r="G604">
        <f t="shared" si="18"/>
        <v>131801.07744328823</v>
      </c>
      <c r="H604">
        <f>IF(G604="", 0, IF(OR(A604=③資金配分!$D$1, A604=③資金配分!$D$2, B604=③資金配分!$D$1, B604=③資金配分!$D$2, C604=③資金配分!$D$1, C604=③資金配分!$D$2), 0, IF(OR(A604=③資金配分!$D$4, A604=③資金配分!$D$5, A604=③資金配分!$D$6, B604=③資金配分!$D$4, B604=③資金配分!$D$5, B604=③資金配分!$D$6, C604=③資金配分!$D$4, C604=③資金配分!$D$5, C604=③資金配分!$D$6), 0, IF(AND(③資金配分!$B$8&gt;0, G604&lt;=③資金配分!$B$8), 1, 0))))</f>
        <v>0</v>
      </c>
      <c r="I604">
        <f t="shared" si="19"/>
        <v>0</v>
      </c>
      <c r="J604">
        <f>IF(I604&gt;0, ROUND((I604 / SUM($I$2:$I$817)) * ③資金配分!$B$7, -2), 0)</f>
        <v>0</v>
      </c>
    </row>
    <row r="605" spans="1:10" x14ac:dyDescent="0.4">
      <c r="A605">
        <v>7</v>
      </c>
      <c r="B605">
        <v>8</v>
      </c>
      <c r="C605">
        <v>16</v>
      </c>
      <c r="D605">
        <f>IFERROR(IF(_xlfn.XLOOKUP(A605, ①オッズ入力!$A$2:$A$19, ①オッズ入力!$D$2:$D$19, "")="", 0, _xlfn.XLOOKUP(A605, ①オッズ入力!$A$2:$A$19, ①オッズ入力!$D$2:$D$19, 0)), 0)</f>
        <v>2.9775022002530085E-2</v>
      </c>
      <c r="E605">
        <f>IFERROR(IF(_xlfn.XLOOKUP(B605, ①オッズ入力!$A$2:$A$19, ①オッズ入力!$D$2:$D$19, "")="", 0, _xlfn.XLOOKUP(B605, ①オッズ入力!$A$2:$A$19, ①オッズ入力!$D$2:$D$19, 0)), 0)</f>
        <v>2.3820017602024068E-2</v>
      </c>
      <c r="F605">
        <f>IFERROR(IF(_xlfn.XLOOKUP(C605, ①オッズ入力!$A$2:$A$19, ①オッズ入力!$D$2:$D$19, "")="", 0, _xlfn.XLOOKUP(C605, ①オッズ入力!$A$2:$A$19, ①オッズ入力!$D$2:$D$19, 0)), 0)</f>
        <v>9.8701730395127345E-3</v>
      </c>
      <c r="G605">
        <f t="shared" si="18"/>
        <v>142850.26956428247</v>
      </c>
      <c r="H605">
        <f>IF(G605="", 0, IF(OR(A605=③資金配分!$D$1, A605=③資金配分!$D$2, B605=③資金配分!$D$1, B605=③資金配分!$D$2, C605=③資金配分!$D$1, C605=③資金配分!$D$2), 0, IF(OR(A605=③資金配分!$D$4, A605=③資金配分!$D$5, A605=③資金配分!$D$6, B605=③資金配分!$D$4, B605=③資金配分!$D$5, B605=③資金配分!$D$6, C605=③資金配分!$D$4, C605=③資金配分!$D$5, C605=③資金配分!$D$6), 0, IF(AND(③資金配分!$B$8&gt;0, G605&lt;=③資金配分!$B$8), 1, 0))))</f>
        <v>0</v>
      </c>
      <c r="I605">
        <f t="shared" si="19"/>
        <v>0</v>
      </c>
      <c r="J605">
        <f>IF(I605&gt;0, ROUND((I605 / SUM($I$2:$I$817)) * ③資金配分!$B$7, -2), 0)</f>
        <v>0</v>
      </c>
    </row>
    <row r="606" spans="1:10" x14ac:dyDescent="0.4">
      <c r="A606">
        <v>7</v>
      </c>
      <c r="B606">
        <v>8</v>
      </c>
      <c r="C606">
        <v>17</v>
      </c>
      <c r="D606">
        <f>IFERROR(IF(_xlfn.XLOOKUP(A606, ①オッズ入力!$A$2:$A$19, ①オッズ入力!$D$2:$D$19, "")="", 0, _xlfn.XLOOKUP(A606, ①オッズ入力!$A$2:$A$19, ①オッズ入力!$D$2:$D$19, 0)), 0)</f>
        <v>2.9775022002530085E-2</v>
      </c>
      <c r="E606">
        <f>IFERROR(IF(_xlfn.XLOOKUP(B606, ①オッズ入力!$A$2:$A$19, ①オッズ入力!$D$2:$D$19, "")="", 0, _xlfn.XLOOKUP(B606, ①オッズ入力!$A$2:$A$19, ①オッズ入力!$D$2:$D$19, 0)), 0)</f>
        <v>2.3820017602024068E-2</v>
      </c>
      <c r="F606">
        <f>IFERROR(IF(_xlfn.XLOOKUP(C606, ①オッズ入力!$A$2:$A$19, ①オッズ入力!$D$2:$D$19, "")="", 0, _xlfn.XLOOKUP(C606, ①オッズ入力!$A$2:$A$19, ①オッズ入力!$D$2:$D$19, 0)), 0)</f>
        <v>9.1615452315477186E-3</v>
      </c>
      <c r="G606">
        <f t="shared" si="18"/>
        <v>153899.46168527668</v>
      </c>
      <c r="H606">
        <f>IF(G606="", 0, IF(OR(A606=③資金配分!$D$1, A606=③資金配分!$D$2, B606=③資金配分!$D$1, B606=③資金配分!$D$2, C606=③資金配分!$D$1, C606=③資金配分!$D$2), 0, IF(OR(A606=③資金配分!$D$4, A606=③資金配分!$D$5, A606=③資金配分!$D$6, B606=③資金配分!$D$4, B606=③資金配分!$D$5, B606=③資金配分!$D$6, C606=③資金配分!$D$4, C606=③資金配分!$D$5, C606=③資金配分!$D$6), 0, IF(AND(③資金配分!$B$8&gt;0, G606&lt;=③資金配分!$B$8), 1, 0))))</f>
        <v>0</v>
      </c>
      <c r="I606">
        <f t="shared" si="19"/>
        <v>0</v>
      </c>
      <c r="J606">
        <f>IF(I606&gt;0, ROUND((I606 / SUM($I$2:$I$817)) * ③資金配分!$B$7, -2), 0)</f>
        <v>0</v>
      </c>
    </row>
    <row r="607" spans="1:10" x14ac:dyDescent="0.4">
      <c r="A607">
        <v>7</v>
      </c>
      <c r="B607">
        <v>8</v>
      </c>
      <c r="C607">
        <v>18</v>
      </c>
      <c r="D607">
        <f>IFERROR(IF(_xlfn.XLOOKUP(A607, ①オッズ入力!$A$2:$A$19, ①オッズ入力!$D$2:$D$19, "")="", 0, _xlfn.XLOOKUP(A607, ①オッズ入力!$A$2:$A$19, ①オッズ入力!$D$2:$D$19, 0)), 0)</f>
        <v>2.9775022002530085E-2</v>
      </c>
      <c r="E607">
        <f>IFERROR(IF(_xlfn.XLOOKUP(B607, ①オッズ入力!$A$2:$A$19, ①オッズ入力!$D$2:$D$19, "")="", 0, _xlfn.XLOOKUP(B607, ①オッズ入力!$A$2:$A$19, ①オッズ入力!$D$2:$D$19, 0)), 0)</f>
        <v>2.3820017602024068E-2</v>
      </c>
      <c r="F607">
        <f>IFERROR(IF(_xlfn.XLOOKUP(C607, ①オッズ入力!$A$2:$A$19, ①オッズ入力!$D$2:$D$19, "")="", 0, _xlfn.XLOOKUP(C607, ①オッズ入力!$A$2:$A$19, ①オッズ入力!$D$2:$D$19, 0)), 0)</f>
        <v>8.5478532064679671E-3</v>
      </c>
      <c r="G607">
        <f t="shared" si="18"/>
        <v>164948.65380627092</v>
      </c>
      <c r="H607">
        <f>IF(G607="", 0, IF(OR(A607=③資金配分!$D$1, A607=③資金配分!$D$2, B607=③資金配分!$D$1, B607=③資金配分!$D$2, C607=③資金配分!$D$1, C607=③資金配分!$D$2), 0, IF(OR(A607=③資金配分!$D$4, A607=③資金配分!$D$5, A607=③資金配分!$D$6, B607=③資金配分!$D$4, B607=③資金配分!$D$5, B607=③資金配分!$D$6, C607=③資金配分!$D$4, C607=③資金配分!$D$5, C607=③資金配分!$D$6), 0, IF(AND(③資金配分!$B$8&gt;0, G607&lt;=③資金配分!$B$8), 1, 0))))</f>
        <v>0</v>
      </c>
      <c r="I607">
        <f t="shared" si="19"/>
        <v>0</v>
      </c>
      <c r="J607">
        <f>IF(I607&gt;0, ROUND((I607 / SUM($I$2:$I$817)) * ③資金配分!$B$7, -2), 0)</f>
        <v>0</v>
      </c>
    </row>
    <row r="608" spans="1:10" x14ac:dyDescent="0.4">
      <c r="A608">
        <v>7</v>
      </c>
      <c r="B608">
        <v>9</v>
      </c>
      <c r="C608">
        <v>10</v>
      </c>
      <c r="D608">
        <f>IFERROR(IF(_xlfn.XLOOKUP(A608, ①オッズ入力!$A$2:$A$19, ①オッズ入力!$D$2:$D$19, "")="", 0, _xlfn.XLOOKUP(A608, ①オッズ入力!$A$2:$A$19, ①オッズ入力!$D$2:$D$19, 0)), 0)</f>
        <v>2.9775022002530085E-2</v>
      </c>
      <c r="E608">
        <f>IFERROR(IF(_xlfn.XLOOKUP(B608, ①オッズ入力!$A$2:$A$19, ①オッズ入力!$D$2:$D$19, "")="", 0, _xlfn.XLOOKUP(B608, ①オッズ入力!$A$2:$A$19, ①オッズ入力!$D$2:$D$19, 0)), 0)</f>
        <v>1.9850014668353389E-2</v>
      </c>
      <c r="F608">
        <f>IFERROR(IF(_xlfn.XLOOKUP(C608, ①オッズ入力!$A$2:$A$19, ①オッズ入力!$D$2:$D$19, "")="", 0, _xlfn.XLOOKUP(C608, ①オッズ入力!$A$2:$A$19, ①オッズ入力!$D$2:$D$19, 0)), 0)</f>
        <v>1.7865013201518051E-2</v>
      </c>
      <c r="G608">
        <f t="shared" si="18"/>
        <v>94707.361037093346</v>
      </c>
      <c r="H608">
        <f>IF(G608="", 0, IF(OR(A608=③資金配分!$D$1, A608=③資金配分!$D$2, B608=③資金配分!$D$1, B608=③資金配分!$D$2, C608=③資金配分!$D$1, C608=③資金配分!$D$2), 0, IF(OR(A608=③資金配分!$D$4, A608=③資金配分!$D$5, A608=③資金配分!$D$6, B608=③資金配分!$D$4, B608=③資金配分!$D$5, B608=③資金配分!$D$6, C608=③資金配分!$D$4, C608=③資金配分!$D$5, C608=③資金配分!$D$6), 0, IF(AND(③資金配分!$B$8&gt;0, G608&lt;=③資金配分!$B$8), 1, 0))))</f>
        <v>0</v>
      </c>
      <c r="I608">
        <f t="shared" si="19"/>
        <v>0</v>
      </c>
      <c r="J608">
        <f>IF(I608&gt;0, ROUND((I608 / SUM($I$2:$I$817)) * ③資金配分!$B$7, -2), 0)</f>
        <v>0</v>
      </c>
    </row>
    <row r="609" spans="1:10" x14ac:dyDescent="0.4">
      <c r="A609">
        <v>7</v>
      </c>
      <c r="B609">
        <v>9</v>
      </c>
      <c r="C609">
        <v>11</v>
      </c>
      <c r="D609">
        <f>IFERROR(IF(_xlfn.XLOOKUP(A609, ①オッズ入力!$A$2:$A$19, ①オッズ入力!$D$2:$D$19, "")="", 0, _xlfn.XLOOKUP(A609, ①オッズ入力!$A$2:$A$19, ①オッズ入力!$D$2:$D$19, 0)), 0)</f>
        <v>2.9775022002530085E-2</v>
      </c>
      <c r="E609">
        <f>IFERROR(IF(_xlfn.XLOOKUP(B609, ①オッズ入力!$A$2:$A$19, ①オッズ入力!$D$2:$D$19, "")="", 0, _xlfn.XLOOKUP(B609, ①オッズ入力!$A$2:$A$19, ①オッズ入力!$D$2:$D$19, 0)), 0)</f>
        <v>1.9850014668353389E-2</v>
      </c>
      <c r="F609">
        <f>IFERROR(IF(_xlfn.XLOOKUP(C609, ①オッズ入力!$A$2:$A$19, ①オッズ入力!$D$2:$D$19, "")="", 0, _xlfn.XLOOKUP(C609, ①オッズ入力!$A$2:$A$19, ①オッズ入力!$D$2:$D$19, 0)), 0)</f>
        <v>1.6240921092289137E-2</v>
      </c>
      <c r="G609">
        <f t="shared" si="18"/>
        <v>104178.09714080268</v>
      </c>
      <c r="H609">
        <f>IF(G609="", 0, IF(OR(A609=③資金配分!$D$1, A609=③資金配分!$D$2, B609=③資金配分!$D$1, B609=③資金配分!$D$2, C609=③資金配分!$D$1, C609=③資金配分!$D$2), 0, IF(OR(A609=③資金配分!$D$4, A609=③資金配分!$D$5, A609=③資金配分!$D$6, B609=③資金配分!$D$4, B609=③資金配分!$D$5, B609=③資金配分!$D$6, C609=③資金配分!$D$4, C609=③資金配分!$D$5, C609=③資金配分!$D$6), 0, IF(AND(③資金配分!$B$8&gt;0, G609&lt;=③資金配分!$B$8), 1, 0))))</f>
        <v>0</v>
      </c>
      <c r="I609">
        <f t="shared" si="19"/>
        <v>0</v>
      </c>
      <c r="J609">
        <f>IF(I609&gt;0, ROUND((I609 / SUM($I$2:$I$817)) * ③資金配分!$B$7, -2), 0)</f>
        <v>0</v>
      </c>
    </row>
    <row r="610" spans="1:10" x14ac:dyDescent="0.4">
      <c r="A610">
        <v>7</v>
      </c>
      <c r="B610">
        <v>9</v>
      </c>
      <c r="C610">
        <v>12</v>
      </c>
      <c r="D610">
        <f>IFERROR(IF(_xlfn.XLOOKUP(A610, ①オッズ入力!$A$2:$A$19, ①オッズ入力!$D$2:$D$19, "")="", 0, _xlfn.XLOOKUP(A610, ①オッズ入力!$A$2:$A$19, ①オッズ入力!$D$2:$D$19, 0)), 0)</f>
        <v>2.9775022002530085E-2</v>
      </c>
      <c r="E610">
        <f>IFERROR(IF(_xlfn.XLOOKUP(B610, ①オッズ入力!$A$2:$A$19, ①オッズ入力!$D$2:$D$19, "")="", 0, _xlfn.XLOOKUP(B610, ①オッズ入力!$A$2:$A$19, ①オッズ入力!$D$2:$D$19, 0)), 0)</f>
        <v>1.9850014668353389E-2</v>
      </c>
      <c r="F610">
        <f>IFERROR(IF(_xlfn.XLOOKUP(C610, ①オッズ入力!$A$2:$A$19, ①オッズ入力!$D$2:$D$19, "")="", 0, _xlfn.XLOOKUP(C610, ①オッズ入力!$A$2:$A$19, ①オッズ入力!$D$2:$D$19, 0)), 0)</f>
        <v>1.4887511001265043E-2</v>
      </c>
      <c r="G610">
        <f t="shared" si="18"/>
        <v>113648.833244512</v>
      </c>
      <c r="H610">
        <f>IF(G610="", 0, IF(OR(A610=③資金配分!$D$1, A610=③資金配分!$D$2, B610=③資金配分!$D$1, B610=③資金配分!$D$2, C610=③資金配分!$D$1, C610=③資金配分!$D$2), 0, IF(OR(A610=③資金配分!$D$4, A610=③資金配分!$D$5, A610=③資金配分!$D$6, B610=③資金配分!$D$4, B610=③資金配分!$D$5, B610=③資金配分!$D$6, C610=③資金配分!$D$4, C610=③資金配分!$D$5, C610=③資金配分!$D$6), 0, IF(AND(③資金配分!$B$8&gt;0, G610&lt;=③資金配分!$B$8), 1, 0))))</f>
        <v>0</v>
      </c>
      <c r="I610">
        <f t="shared" si="19"/>
        <v>0</v>
      </c>
      <c r="J610">
        <f>IF(I610&gt;0, ROUND((I610 / SUM($I$2:$I$817)) * ③資金配分!$B$7, -2), 0)</f>
        <v>0</v>
      </c>
    </row>
    <row r="611" spans="1:10" x14ac:dyDescent="0.4">
      <c r="A611">
        <v>7</v>
      </c>
      <c r="B611">
        <v>9</v>
      </c>
      <c r="C611">
        <v>13</v>
      </c>
      <c r="D611">
        <f>IFERROR(IF(_xlfn.XLOOKUP(A611, ①オッズ入力!$A$2:$A$19, ①オッズ入力!$D$2:$D$19, "")="", 0, _xlfn.XLOOKUP(A611, ①オッズ入力!$A$2:$A$19, ①オッズ入力!$D$2:$D$19, 0)), 0)</f>
        <v>2.9775022002530085E-2</v>
      </c>
      <c r="E611">
        <f>IFERROR(IF(_xlfn.XLOOKUP(B611, ①オッズ入力!$A$2:$A$19, ①オッズ入力!$D$2:$D$19, "")="", 0, _xlfn.XLOOKUP(B611, ①オッズ入力!$A$2:$A$19, ①オッズ入力!$D$2:$D$19, 0)), 0)</f>
        <v>1.9850014668353389E-2</v>
      </c>
      <c r="F611">
        <f>IFERROR(IF(_xlfn.XLOOKUP(C611, ①オッズ入力!$A$2:$A$19, ①オッズ入力!$D$2:$D$19, "")="", 0, _xlfn.XLOOKUP(C611, ①オッズ入力!$A$2:$A$19, ①オッズ入力!$D$2:$D$19, 0)), 0)</f>
        <v>1.2760723715370036E-2</v>
      </c>
      <c r="G611">
        <f t="shared" si="18"/>
        <v>132590.3054519307</v>
      </c>
      <c r="H611">
        <f>IF(G611="", 0, IF(OR(A611=③資金配分!$D$1, A611=③資金配分!$D$2, B611=③資金配分!$D$1, B611=③資金配分!$D$2, C611=③資金配分!$D$1, C611=③資金配分!$D$2), 0, IF(OR(A611=③資金配分!$D$4, A611=③資金配分!$D$5, A611=③資金配分!$D$6, B611=③資金配分!$D$4, B611=③資金配分!$D$5, B611=③資金配分!$D$6, C611=③資金配分!$D$4, C611=③資金配分!$D$5, C611=③資金配分!$D$6), 0, IF(AND(③資金配分!$B$8&gt;0, G611&lt;=③資金配分!$B$8), 1, 0))))</f>
        <v>0</v>
      </c>
      <c r="I611">
        <f t="shared" si="19"/>
        <v>0</v>
      </c>
      <c r="J611">
        <f>IF(I611&gt;0, ROUND((I611 / SUM($I$2:$I$817)) * ③資金配分!$B$7, -2), 0)</f>
        <v>0</v>
      </c>
    </row>
    <row r="612" spans="1:10" x14ac:dyDescent="0.4">
      <c r="A612">
        <v>7</v>
      </c>
      <c r="B612">
        <v>9</v>
      </c>
      <c r="C612">
        <v>14</v>
      </c>
      <c r="D612">
        <f>IFERROR(IF(_xlfn.XLOOKUP(A612, ①オッズ入力!$A$2:$A$19, ①オッズ入力!$D$2:$D$19, "")="", 0, _xlfn.XLOOKUP(A612, ①オッズ入力!$A$2:$A$19, ①オッズ入力!$D$2:$D$19, 0)), 0)</f>
        <v>2.9775022002530085E-2</v>
      </c>
      <c r="E612">
        <f>IFERROR(IF(_xlfn.XLOOKUP(B612, ①オッズ入力!$A$2:$A$19, ①オッズ入力!$D$2:$D$19, "")="", 0, _xlfn.XLOOKUP(B612, ①オッズ入力!$A$2:$A$19, ①オッズ入力!$D$2:$D$19, 0)), 0)</f>
        <v>1.9850014668353389E-2</v>
      </c>
      <c r="F612">
        <f>IFERROR(IF(_xlfn.XLOOKUP(C612, ①オッズ入力!$A$2:$A$19, ①オッズ入力!$D$2:$D$19, "")="", 0, _xlfn.XLOOKUP(C612, ①オッズ入力!$A$2:$A$19, ①オッズ入力!$D$2:$D$19, 0)), 0)</f>
        <v>1.1525814968721322E-2</v>
      </c>
      <c r="G612">
        <f t="shared" si="18"/>
        <v>146796.40960749469</v>
      </c>
      <c r="H612">
        <f>IF(G612="", 0, IF(OR(A612=③資金配分!$D$1, A612=③資金配分!$D$2, B612=③資金配分!$D$1, B612=③資金配分!$D$2, C612=③資金配分!$D$1, C612=③資金配分!$D$2), 0, IF(OR(A612=③資金配分!$D$4, A612=③資金配分!$D$5, A612=③資金配分!$D$6, B612=③資金配分!$D$4, B612=③資金配分!$D$5, B612=③資金配分!$D$6, C612=③資金配分!$D$4, C612=③資金配分!$D$5, C612=③資金配分!$D$6), 0, IF(AND(③資金配分!$B$8&gt;0, G612&lt;=③資金配分!$B$8), 1, 0))))</f>
        <v>0</v>
      </c>
      <c r="I612">
        <f t="shared" si="19"/>
        <v>0</v>
      </c>
      <c r="J612">
        <f>IF(I612&gt;0, ROUND((I612 / SUM($I$2:$I$817)) * ③資金配分!$B$7, -2), 0)</f>
        <v>0</v>
      </c>
    </row>
    <row r="613" spans="1:10" x14ac:dyDescent="0.4">
      <c r="A613">
        <v>7</v>
      </c>
      <c r="B613">
        <v>9</v>
      </c>
      <c r="C613">
        <v>15</v>
      </c>
      <c r="D613">
        <f>IFERROR(IF(_xlfn.XLOOKUP(A613, ①オッズ入力!$A$2:$A$19, ①オッズ入力!$D$2:$D$19, "")="", 0, _xlfn.XLOOKUP(A613, ①オッズ入力!$A$2:$A$19, ①オッズ入力!$D$2:$D$19, 0)), 0)</f>
        <v>2.9775022002530085E-2</v>
      </c>
      <c r="E613">
        <f>IFERROR(IF(_xlfn.XLOOKUP(B613, ①オッズ入力!$A$2:$A$19, ①オッズ入力!$D$2:$D$19, "")="", 0, _xlfn.XLOOKUP(B613, ①オッズ入力!$A$2:$A$19, ①オッズ入力!$D$2:$D$19, 0)), 0)</f>
        <v>1.9850014668353389E-2</v>
      </c>
      <c r="F613">
        <f>IFERROR(IF(_xlfn.XLOOKUP(C613, ①オッズ入力!$A$2:$A$19, ①オッズ入力!$D$2:$D$19, "")="", 0, _xlfn.XLOOKUP(C613, ①オッズ入力!$A$2:$A$19, ①オッズ入力!$D$2:$D$19, 0)), 0)</f>
        <v>1.0697612695519792E-2</v>
      </c>
      <c r="G613">
        <f t="shared" si="18"/>
        <v>158161.29293194588</v>
      </c>
      <c r="H613">
        <f>IF(G613="", 0, IF(OR(A613=③資金配分!$D$1, A613=③資金配分!$D$2, B613=③資金配分!$D$1, B613=③資金配分!$D$2, C613=③資金配分!$D$1, C613=③資金配分!$D$2), 0, IF(OR(A613=③資金配分!$D$4, A613=③資金配分!$D$5, A613=③資金配分!$D$6, B613=③資金配分!$D$4, B613=③資金配分!$D$5, B613=③資金配分!$D$6, C613=③資金配分!$D$4, C613=③資金配分!$D$5, C613=③資金配分!$D$6), 0, IF(AND(③資金配分!$B$8&gt;0, G613&lt;=③資金配分!$B$8), 1, 0))))</f>
        <v>0</v>
      </c>
      <c r="I613">
        <f t="shared" si="19"/>
        <v>0</v>
      </c>
      <c r="J613">
        <f>IF(I613&gt;0, ROUND((I613 / SUM($I$2:$I$817)) * ③資金配分!$B$7, -2), 0)</f>
        <v>0</v>
      </c>
    </row>
    <row r="614" spans="1:10" x14ac:dyDescent="0.4">
      <c r="A614">
        <v>7</v>
      </c>
      <c r="B614">
        <v>9</v>
      </c>
      <c r="C614">
        <v>16</v>
      </c>
      <c r="D614">
        <f>IFERROR(IF(_xlfn.XLOOKUP(A614, ①オッズ入力!$A$2:$A$19, ①オッズ入力!$D$2:$D$19, "")="", 0, _xlfn.XLOOKUP(A614, ①オッズ入力!$A$2:$A$19, ①オッズ入力!$D$2:$D$19, 0)), 0)</f>
        <v>2.9775022002530085E-2</v>
      </c>
      <c r="E614">
        <f>IFERROR(IF(_xlfn.XLOOKUP(B614, ①オッズ入力!$A$2:$A$19, ①オッズ入力!$D$2:$D$19, "")="", 0, _xlfn.XLOOKUP(B614, ①オッズ入力!$A$2:$A$19, ①オッズ入力!$D$2:$D$19, 0)), 0)</f>
        <v>1.9850014668353389E-2</v>
      </c>
      <c r="F614">
        <f>IFERROR(IF(_xlfn.XLOOKUP(C614, ①オッズ入力!$A$2:$A$19, ①オッズ入力!$D$2:$D$19, "")="", 0, _xlfn.XLOOKUP(C614, ①オッズ入力!$A$2:$A$19, ①オッズ入力!$D$2:$D$19, 0)), 0)</f>
        <v>9.8701730395127345E-3</v>
      </c>
      <c r="G614">
        <f t="shared" si="18"/>
        <v>171420.32347713897</v>
      </c>
      <c r="H614">
        <f>IF(G614="", 0, IF(OR(A614=③資金配分!$D$1, A614=③資金配分!$D$2, B614=③資金配分!$D$1, B614=③資金配分!$D$2, C614=③資金配分!$D$1, C614=③資金配分!$D$2), 0, IF(OR(A614=③資金配分!$D$4, A614=③資金配分!$D$5, A614=③資金配分!$D$6, B614=③資金配分!$D$4, B614=③資金配分!$D$5, B614=③資金配分!$D$6, C614=③資金配分!$D$4, C614=③資金配分!$D$5, C614=③資金配分!$D$6), 0, IF(AND(③資金配分!$B$8&gt;0, G614&lt;=③資金配分!$B$8), 1, 0))))</f>
        <v>0</v>
      </c>
      <c r="I614">
        <f t="shared" si="19"/>
        <v>0</v>
      </c>
      <c r="J614">
        <f>IF(I614&gt;0, ROUND((I614 / SUM($I$2:$I$817)) * ③資金配分!$B$7, -2), 0)</f>
        <v>0</v>
      </c>
    </row>
    <row r="615" spans="1:10" x14ac:dyDescent="0.4">
      <c r="A615">
        <v>7</v>
      </c>
      <c r="B615">
        <v>9</v>
      </c>
      <c r="C615">
        <v>17</v>
      </c>
      <c r="D615">
        <f>IFERROR(IF(_xlfn.XLOOKUP(A615, ①オッズ入力!$A$2:$A$19, ①オッズ入力!$D$2:$D$19, "")="", 0, _xlfn.XLOOKUP(A615, ①オッズ入力!$A$2:$A$19, ①オッズ入力!$D$2:$D$19, 0)), 0)</f>
        <v>2.9775022002530085E-2</v>
      </c>
      <c r="E615">
        <f>IFERROR(IF(_xlfn.XLOOKUP(B615, ①オッズ入力!$A$2:$A$19, ①オッズ入力!$D$2:$D$19, "")="", 0, _xlfn.XLOOKUP(B615, ①オッズ入力!$A$2:$A$19, ①オッズ入力!$D$2:$D$19, 0)), 0)</f>
        <v>1.9850014668353389E-2</v>
      </c>
      <c r="F615">
        <f>IFERROR(IF(_xlfn.XLOOKUP(C615, ①オッズ入力!$A$2:$A$19, ①オッズ入力!$D$2:$D$19, "")="", 0, _xlfn.XLOOKUP(C615, ①オッズ入力!$A$2:$A$19, ①オッズ入力!$D$2:$D$19, 0)), 0)</f>
        <v>9.1615452315477186E-3</v>
      </c>
      <c r="G615">
        <f t="shared" si="18"/>
        <v>184679.354022332</v>
      </c>
      <c r="H615">
        <f>IF(G615="", 0, IF(OR(A615=③資金配分!$D$1, A615=③資金配分!$D$2, B615=③資金配分!$D$1, B615=③資金配分!$D$2, C615=③資金配分!$D$1, C615=③資金配分!$D$2), 0, IF(OR(A615=③資金配分!$D$4, A615=③資金配分!$D$5, A615=③資金配分!$D$6, B615=③資金配分!$D$4, B615=③資金配分!$D$5, B615=③資金配分!$D$6, C615=③資金配分!$D$4, C615=③資金配分!$D$5, C615=③資金配分!$D$6), 0, IF(AND(③資金配分!$B$8&gt;0, G615&lt;=③資金配分!$B$8), 1, 0))))</f>
        <v>0</v>
      </c>
      <c r="I615">
        <f t="shared" si="19"/>
        <v>0</v>
      </c>
      <c r="J615">
        <f>IF(I615&gt;0, ROUND((I615 / SUM($I$2:$I$817)) * ③資金配分!$B$7, -2), 0)</f>
        <v>0</v>
      </c>
    </row>
    <row r="616" spans="1:10" x14ac:dyDescent="0.4">
      <c r="A616">
        <v>7</v>
      </c>
      <c r="B616">
        <v>9</v>
      </c>
      <c r="C616">
        <v>18</v>
      </c>
      <c r="D616">
        <f>IFERROR(IF(_xlfn.XLOOKUP(A616, ①オッズ入力!$A$2:$A$19, ①オッズ入力!$D$2:$D$19, "")="", 0, _xlfn.XLOOKUP(A616, ①オッズ入力!$A$2:$A$19, ①オッズ入力!$D$2:$D$19, 0)), 0)</f>
        <v>2.9775022002530085E-2</v>
      </c>
      <c r="E616">
        <f>IFERROR(IF(_xlfn.XLOOKUP(B616, ①オッズ入力!$A$2:$A$19, ①オッズ入力!$D$2:$D$19, "")="", 0, _xlfn.XLOOKUP(B616, ①オッズ入力!$A$2:$A$19, ①オッズ入力!$D$2:$D$19, 0)), 0)</f>
        <v>1.9850014668353389E-2</v>
      </c>
      <c r="F616">
        <f>IFERROR(IF(_xlfn.XLOOKUP(C616, ①オッズ入力!$A$2:$A$19, ①オッズ入力!$D$2:$D$19, "")="", 0, _xlfn.XLOOKUP(C616, ①オッズ入力!$A$2:$A$19, ①オッズ入力!$D$2:$D$19, 0)), 0)</f>
        <v>8.5478532064679671E-3</v>
      </c>
      <c r="G616">
        <f t="shared" si="18"/>
        <v>197938.38456752509</v>
      </c>
      <c r="H616">
        <f>IF(G616="", 0, IF(OR(A616=③資金配分!$D$1, A616=③資金配分!$D$2, B616=③資金配分!$D$1, B616=③資金配分!$D$2, C616=③資金配分!$D$1, C616=③資金配分!$D$2), 0, IF(OR(A616=③資金配分!$D$4, A616=③資金配分!$D$5, A616=③資金配分!$D$6, B616=③資金配分!$D$4, B616=③資金配分!$D$5, B616=③資金配分!$D$6, C616=③資金配分!$D$4, C616=③資金配分!$D$5, C616=③資金配分!$D$6), 0, IF(AND(③資金配分!$B$8&gt;0, G616&lt;=③資金配分!$B$8), 1, 0))))</f>
        <v>0</v>
      </c>
      <c r="I616">
        <f t="shared" si="19"/>
        <v>0</v>
      </c>
      <c r="J616">
        <f>IF(I616&gt;0, ROUND((I616 / SUM($I$2:$I$817)) * ③資金配分!$B$7, -2), 0)</f>
        <v>0</v>
      </c>
    </row>
    <row r="617" spans="1:10" x14ac:dyDescent="0.4">
      <c r="A617">
        <v>7</v>
      </c>
      <c r="B617">
        <v>10</v>
      </c>
      <c r="C617">
        <v>11</v>
      </c>
      <c r="D617">
        <f>IFERROR(IF(_xlfn.XLOOKUP(A617, ①オッズ入力!$A$2:$A$19, ①オッズ入力!$D$2:$D$19, "")="", 0, _xlfn.XLOOKUP(A617, ①オッズ入力!$A$2:$A$19, ①オッズ入力!$D$2:$D$19, 0)), 0)</f>
        <v>2.9775022002530085E-2</v>
      </c>
      <c r="E617">
        <f>IFERROR(IF(_xlfn.XLOOKUP(B617, ①オッズ入力!$A$2:$A$19, ①オッズ入力!$D$2:$D$19, "")="", 0, _xlfn.XLOOKUP(B617, ①オッズ入力!$A$2:$A$19, ①オッズ入力!$D$2:$D$19, 0)), 0)</f>
        <v>1.7865013201518051E-2</v>
      </c>
      <c r="F617">
        <f>IFERROR(IF(_xlfn.XLOOKUP(C617, ①オッズ入力!$A$2:$A$19, ①オッズ入力!$D$2:$D$19, "")="", 0, _xlfn.XLOOKUP(C617, ①オッズ入力!$A$2:$A$19, ①オッズ入力!$D$2:$D$19, 0)), 0)</f>
        <v>1.6240921092289137E-2</v>
      </c>
      <c r="G617">
        <f t="shared" si="18"/>
        <v>115753.44126755853</v>
      </c>
      <c r="H617">
        <f>IF(G617="", 0, IF(OR(A617=③資金配分!$D$1, A617=③資金配分!$D$2, B617=③資金配分!$D$1, B617=③資金配分!$D$2, C617=③資金配分!$D$1, C617=③資金配分!$D$2), 0, IF(OR(A617=③資金配分!$D$4, A617=③資金配分!$D$5, A617=③資金配分!$D$6, B617=③資金配分!$D$4, B617=③資金配分!$D$5, B617=③資金配分!$D$6, C617=③資金配分!$D$4, C617=③資金配分!$D$5, C617=③資金配分!$D$6), 0, IF(AND(③資金配分!$B$8&gt;0, G617&lt;=③資金配分!$B$8), 1, 0))))</f>
        <v>0</v>
      </c>
      <c r="I617">
        <f t="shared" si="19"/>
        <v>0</v>
      </c>
      <c r="J617">
        <f>IF(I617&gt;0, ROUND((I617 / SUM($I$2:$I$817)) * ③資金配分!$B$7, -2), 0)</f>
        <v>0</v>
      </c>
    </row>
    <row r="618" spans="1:10" x14ac:dyDescent="0.4">
      <c r="A618">
        <v>7</v>
      </c>
      <c r="B618">
        <v>10</v>
      </c>
      <c r="C618">
        <v>12</v>
      </c>
      <c r="D618">
        <f>IFERROR(IF(_xlfn.XLOOKUP(A618, ①オッズ入力!$A$2:$A$19, ①オッズ入力!$D$2:$D$19, "")="", 0, _xlfn.XLOOKUP(A618, ①オッズ入力!$A$2:$A$19, ①オッズ入力!$D$2:$D$19, 0)), 0)</f>
        <v>2.9775022002530085E-2</v>
      </c>
      <c r="E618">
        <f>IFERROR(IF(_xlfn.XLOOKUP(B618, ①オッズ入力!$A$2:$A$19, ①オッズ入力!$D$2:$D$19, "")="", 0, _xlfn.XLOOKUP(B618, ①オッズ入力!$A$2:$A$19, ①オッズ入力!$D$2:$D$19, 0)), 0)</f>
        <v>1.7865013201518051E-2</v>
      </c>
      <c r="F618">
        <f>IFERROR(IF(_xlfn.XLOOKUP(C618, ①オッズ入力!$A$2:$A$19, ①オッズ入力!$D$2:$D$19, "")="", 0, _xlfn.XLOOKUP(C618, ①オッズ入力!$A$2:$A$19, ①オッズ入力!$D$2:$D$19, 0)), 0)</f>
        <v>1.4887511001265043E-2</v>
      </c>
      <c r="G618">
        <f t="shared" si="18"/>
        <v>126276.48138279114</v>
      </c>
      <c r="H618">
        <f>IF(G618="", 0, IF(OR(A618=③資金配分!$D$1, A618=③資金配分!$D$2, B618=③資金配分!$D$1, B618=③資金配分!$D$2, C618=③資金配分!$D$1, C618=③資金配分!$D$2), 0, IF(OR(A618=③資金配分!$D$4, A618=③資金配分!$D$5, A618=③資金配分!$D$6, B618=③資金配分!$D$4, B618=③資金配分!$D$5, B618=③資金配分!$D$6, C618=③資金配分!$D$4, C618=③資金配分!$D$5, C618=③資金配分!$D$6), 0, IF(AND(③資金配分!$B$8&gt;0, G618&lt;=③資金配分!$B$8), 1, 0))))</f>
        <v>0</v>
      </c>
      <c r="I618">
        <f t="shared" si="19"/>
        <v>0</v>
      </c>
      <c r="J618">
        <f>IF(I618&gt;0, ROUND((I618 / SUM($I$2:$I$817)) * ③資金配分!$B$7, -2), 0)</f>
        <v>0</v>
      </c>
    </row>
    <row r="619" spans="1:10" x14ac:dyDescent="0.4">
      <c r="A619">
        <v>7</v>
      </c>
      <c r="B619">
        <v>10</v>
      </c>
      <c r="C619">
        <v>13</v>
      </c>
      <c r="D619">
        <f>IFERROR(IF(_xlfn.XLOOKUP(A619, ①オッズ入力!$A$2:$A$19, ①オッズ入力!$D$2:$D$19, "")="", 0, _xlfn.XLOOKUP(A619, ①オッズ入力!$A$2:$A$19, ①オッズ入力!$D$2:$D$19, 0)), 0)</f>
        <v>2.9775022002530085E-2</v>
      </c>
      <c r="E619">
        <f>IFERROR(IF(_xlfn.XLOOKUP(B619, ①オッズ入力!$A$2:$A$19, ①オッズ入力!$D$2:$D$19, "")="", 0, _xlfn.XLOOKUP(B619, ①オッズ入力!$A$2:$A$19, ①オッズ入力!$D$2:$D$19, 0)), 0)</f>
        <v>1.7865013201518051E-2</v>
      </c>
      <c r="F619">
        <f>IFERROR(IF(_xlfn.XLOOKUP(C619, ①オッズ入力!$A$2:$A$19, ①オッズ入力!$D$2:$D$19, "")="", 0, _xlfn.XLOOKUP(C619, ①オッズ入力!$A$2:$A$19, ①オッズ入力!$D$2:$D$19, 0)), 0)</f>
        <v>1.2760723715370036E-2</v>
      </c>
      <c r="G619">
        <f t="shared" si="18"/>
        <v>147322.56161325632</v>
      </c>
      <c r="H619">
        <f>IF(G619="", 0, IF(OR(A619=③資金配分!$D$1, A619=③資金配分!$D$2, B619=③資金配分!$D$1, B619=③資金配分!$D$2, C619=③資金配分!$D$1, C619=③資金配分!$D$2), 0, IF(OR(A619=③資金配分!$D$4, A619=③資金配分!$D$5, A619=③資金配分!$D$6, B619=③資金配分!$D$4, B619=③資金配分!$D$5, B619=③資金配分!$D$6, C619=③資金配分!$D$4, C619=③資金配分!$D$5, C619=③資金配分!$D$6), 0, IF(AND(③資金配分!$B$8&gt;0, G619&lt;=③資金配分!$B$8), 1, 0))))</f>
        <v>0</v>
      </c>
      <c r="I619">
        <f t="shared" si="19"/>
        <v>0</v>
      </c>
      <c r="J619">
        <f>IF(I619&gt;0, ROUND((I619 / SUM($I$2:$I$817)) * ③資金配分!$B$7, -2), 0)</f>
        <v>0</v>
      </c>
    </row>
    <row r="620" spans="1:10" x14ac:dyDescent="0.4">
      <c r="A620">
        <v>7</v>
      </c>
      <c r="B620">
        <v>10</v>
      </c>
      <c r="C620">
        <v>14</v>
      </c>
      <c r="D620">
        <f>IFERROR(IF(_xlfn.XLOOKUP(A620, ①オッズ入力!$A$2:$A$19, ①オッズ入力!$D$2:$D$19, "")="", 0, _xlfn.XLOOKUP(A620, ①オッズ入力!$A$2:$A$19, ①オッズ入力!$D$2:$D$19, 0)), 0)</f>
        <v>2.9775022002530085E-2</v>
      </c>
      <c r="E620">
        <f>IFERROR(IF(_xlfn.XLOOKUP(B620, ①オッズ入力!$A$2:$A$19, ①オッズ入力!$D$2:$D$19, "")="", 0, _xlfn.XLOOKUP(B620, ①オッズ入力!$A$2:$A$19, ①オッズ入力!$D$2:$D$19, 0)), 0)</f>
        <v>1.7865013201518051E-2</v>
      </c>
      <c r="F620">
        <f>IFERROR(IF(_xlfn.XLOOKUP(C620, ①オッズ入力!$A$2:$A$19, ①オッズ入力!$D$2:$D$19, "")="", 0, _xlfn.XLOOKUP(C620, ①オッズ入力!$A$2:$A$19, ①オッズ入力!$D$2:$D$19, 0)), 0)</f>
        <v>1.1525814968721322E-2</v>
      </c>
      <c r="G620">
        <f t="shared" si="18"/>
        <v>163107.12178610521</v>
      </c>
      <c r="H620">
        <f>IF(G620="", 0, IF(OR(A620=③資金配分!$D$1, A620=③資金配分!$D$2, B620=③資金配分!$D$1, B620=③資金配分!$D$2, C620=③資金配分!$D$1, C620=③資金配分!$D$2), 0, IF(OR(A620=③資金配分!$D$4, A620=③資金配分!$D$5, A620=③資金配分!$D$6, B620=③資金配分!$D$4, B620=③資金配分!$D$5, B620=③資金配分!$D$6, C620=③資金配分!$D$4, C620=③資金配分!$D$5, C620=③資金配分!$D$6), 0, IF(AND(③資金配分!$B$8&gt;0, G620&lt;=③資金配分!$B$8), 1, 0))))</f>
        <v>0</v>
      </c>
      <c r="I620">
        <f t="shared" si="19"/>
        <v>0</v>
      </c>
      <c r="J620">
        <f>IF(I620&gt;0, ROUND((I620 / SUM($I$2:$I$817)) * ③資金配分!$B$7, -2), 0)</f>
        <v>0</v>
      </c>
    </row>
    <row r="621" spans="1:10" x14ac:dyDescent="0.4">
      <c r="A621">
        <v>7</v>
      </c>
      <c r="B621">
        <v>10</v>
      </c>
      <c r="C621">
        <v>15</v>
      </c>
      <c r="D621">
        <f>IFERROR(IF(_xlfn.XLOOKUP(A621, ①オッズ入力!$A$2:$A$19, ①オッズ入力!$D$2:$D$19, "")="", 0, _xlfn.XLOOKUP(A621, ①オッズ入力!$A$2:$A$19, ①オッズ入力!$D$2:$D$19, 0)), 0)</f>
        <v>2.9775022002530085E-2</v>
      </c>
      <c r="E621">
        <f>IFERROR(IF(_xlfn.XLOOKUP(B621, ①オッズ入力!$A$2:$A$19, ①オッズ入力!$D$2:$D$19, "")="", 0, _xlfn.XLOOKUP(B621, ①オッズ入力!$A$2:$A$19, ①オッズ入力!$D$2:$D$19, 0)), 0)</f>
        <v>1.7865013201518051E-2</v>
      </c>
      <c r="F621">
        <f>IFERROR(IF(_xlfn.XLOOKUP(C621, ①オッズ入力!$A$2:$A$19, ①オッズ入力!$D$2:$D$19, "")="", 0, _xlfn.XLOOKUP(C621, ①オッズ入力!$A$2:$A$19, ①オッズ入力!$D$2:$D$19, 0)), 0)</f>
        <v>1.0697612695519792E-2</v>
      </c>
      <c r="G621">
        <f t="shared" si="18"/>
        <v>175734.76992438434</v>
      </c>
      <c r="H621">
        <f>IF(G621="", 0, IF(OR(A621=③資金配分!$D$1, A621=③資金配分!$D$2, B621=③資金配分!$D$1, B621=③資金配分!$D$2, C621=③資金配分!$D$1, C621=③資金配分!$D$2), 0, IF(OR(A621=③資金配分!$D$4, A621=③資金配分!$D$5, A621=③資金配分!$D$6, B621=③資金配分!$D$4, B621=③資金配分!$D$5, B621=③資金配分!$D$6, C621=③資金配分!$D$4, C621=③資金配分!$D$5, C621=③資金配分!$D$6), 0, IF(AND(③資金配分!$B$8&gt;0, G621&lt;=③資金配分!$B$8), 1, 0))))</f>
        <v>0</v>
      </c>
      <c r="I621">
        <f t="shared" si="19"/>
        <v>0</v>
      </c>
      <c r="J621">
        <f>IF(I621&gt;0, ROUND((I621 / SUM($I$2:$I$817)) * ③資金配分!$B$7, -2), 0)</f>
        <v>0</v>
      </c>
    </row>
    <row r="622" spans="1:10" x14ac:dyDescent="0.4">
      <c r="A622">
        <v>7</v>
      </c>
      <c r="B622">
        <v>10</v>
      </c>
      <c r="C622">
        <v>16</v>
      </c>
      <c r="D622">
        <f>IFERROR(IF(_xlfn.XLOOKUP(A622, ①オッズ入力!$A$2:$A$19, ①オッズ入力!$D$2:$D$19, "")="", 0, _xlfn.XLOOKUP(A622, ①オッズ入力!$A$2:$A$19, ①オッズ入力!$D$2:$D$19, 0)), 0)</f>
        <v>2.9775022002530085E-2</v>
      </c>
      <c r="E622">
        <f>IFERROR(IF(_xlfn.XLOOKUP(B622, ①オッズ入力!$A$2:$A$19, ①オッズ入力!$D$2:$D$19, "")="", 0, _xlfn.XLOOKUP(B622, ①オッズ入力!$A$2:$A$19, ①オッズ入力!$D$2:$D$19, 0)), 0)</f>
        <v>1.7865013201518051E-2</v>
      </c>
      <c r="F622">
        <f>IFERROR(IF(_xlfn.XLOOKUP(C622, ①オッズ入力!$A$2:$A$19, ①オッズ入力!$D$2:$D$19, "")="", 0, _xlfn.XLOOKUP(C622, ①オッズ入力!$A$2:$A$19, ①オッズ入力!$D$2:$D$19, 0)), 0)</f>
        <v>9.8701730395127345E-3</v>
      </c>
      <c r="G622">
        <f t="shared" si="18"/>
        <v>190467.02608570998</v>
      </c>
      <c r="H622">
        <f>IF(G622="", 0, IF(OR(A622=③資金配分!$D$1, A622=③資金配分!$D$2, B622=③資金配分!$D$1, B622=③資金配分!$D$2, C622=③資金配分!$D$1, C622=③資金配分!$D$2), 0, IF(OR(A622=③資金配分!$D$4, A622=③資金配分!$D$5, A622=③資金配分!$D$6, B622=③資金配分!$D$4, B622=③資金配分!$D$5, B622=③資金配分!$D$6, C622=③資金配分!$D$4, C622=③資金配分!$D$5, C622=③資金配分!$D$6), 0, IF(AND(③資金配分!$B$8&gt;0, G622&lt;=③資金配分!$B$8), 1, 0))))</f>
        <v>0</v>
      </c>
      <c r="I622">
        <f t="shared" si="19"/>
        <v>0</v>
      </c>
      <c r="J622">
        <f>IF(I622&gt;0, ROUND((I622 / SUM($I$2:$I$817)) * ③資金配分!$B$7, -2), 0)</f>
        <v>0</v>
      </c>
    </row>
    <row r="623" spans="1:10" x14ac:dyDescent="0.4">
      <c r="A623">
        <v>7</v>
      </c>
      <c r="B623">
        <v>10</v>
      </c>
      <c r="C623">
        <v>17</v>
      </c>
      <c r="D623">
        <f>IFERROR(IF(_xlfn.XLOOKUP(A623, ①オッズ入力!$A$2:$A$19, ①オッズ入力!$D$2:$D$19, "")="", 0, _xlfn.XLOOKUP(A623, ①オッズ入力!$A$2:$A$19, ①オッズ入力!$D$2:$D$19, 0)), 0)</f>
        <v>2.9775022002530085E-2</v>
      </c>
      <c r="E623">
        <f>IFERROR(IF(_xlfn.XLOOKUP(B623, ①オッズ入力!$A$2:$A$19, ①オッズ入力!$D$2:$D$19, "")="", 0, _xlfn.XLOOKUP(B623, ①オッズ入力!$A$2:$A$19, ①オッズ入力!$D$2:$D$19, 0)), 0)</f>
        <v>1.7865013201518051E-2</v>
      </c>
      <c r="F623">
        <f>IFERROR(IF(_xlfn.XLOOKUP(C623, ①オッズ入力!$A$2:$A$19, ①オッズ入力!$D$2:$D$19, "")="", 0, _xlfn.XLOOKUP(C623, ①オッズ入力!$A$2:$A$19, ①オッズ入力!$D$2:$D$19, 0)), 0)</f>
        <v>9.1615452315477186E-3</v>
      </c>
      <c r="G623">
        <f t="shared" si="18"/>
        <v>205199.28224703559</v>
      </c>
      <c r="H623">
        <f>IF(G623="", 0, IF(OR(A623=③資金配分!$D$1, A623=③資金配分!$D$2, B623=③資金配分!$D$1, B623=③資金配分!$D$2, C623=③資金配分!$D$1, C623=③資金配分!$D$2), 0, IF(OR(A623=③資金配分!$D$4, A623=③資金配分!$D$5, A623=③資金配分!$D$6, B623=③資金配分!$D$4, B623=③資金配分!$D$5, B623=③資金配分!$D$6, C623=③資金配分!$D$4, C623=③資金配分!$D$5, C623=③資金配分!$D$6), 0, IF(AND(③資金配分!$B$8&gt;0, G623&lt;=③資金配分!$B$8), 1, 0))))</f>
        <v>0</v>
      </c>
      <c r="I623">
        <f t="shared" si="19"/>
        <v>0</v>
      </c>
      <c r="J623">
        <f>IF(I623&gt;0, ROUND((I623 / SUM($I$2:$I$817)) * ③資金配分!$B$7, -2), 0)</f>
        <v>0</v>
      </c>
    </row>
    <row r="624" spans="1:10" x14ac:dyDescent="0.4">
      <c r="A624">
        <v>7</v>
      </c>
      <c r="B624">
        <v>10</v>
      </c>
      <c r="C624">
        <v>18</v>
      </c>
      <c r="D624">
        <f>IFERROR(IF(_xlfn.XLOOKUP(A624, ①オッズ入力!$A$2:$A$19, ①オッズ入力!$D$2:$D$19, "")="", 0, _xlfn.XLOOKUP(A624, ①オッズ入力!$A$2:$A$19, ①オッズ入力!$D$2:$D$19, 0)), 0)</f>
        <v>2.9775022002530085E-2</v>
      </c>
      <c r="E624">
        <f>IFERROR(IF(_xlfn.XLOOKUP(B624, ①オッズ入力!$A$2:$A$19, ①オッズ入力!$D$2:$D$19, "")="", 0, _xlfn.XLOOKUP(B624, ①オッズ入力!$A$2:$A$19, ①オッズ入力!$D$2:$D$19, 0)), 0)</f>
        <v>1.7865013201518051E-2</v>
      </c>
      <c r="F624">
        <f>IFERROR(IF(_xlfn.XLOOKUP(C624, ①オッズ入力!$A$2:$A$19, ①オッズ入力!$D$2:$D$19, "")="", 0, _xlfn.XLOOKUP(C624, ①オッズ入力!$A$2:$A$19, ①オッズ入力!$D$2:$D$19, 0)), 0)</f>
        <v>8.5478532064679671E-3</v>
      </c>
      <c r="G624">
        <f t="shared" si="18"/>
        <v>219931.53840836123</v>
      </c>
      <c r="H624">
        <f>IF(G624="", 0, IF(OR(A624=③資金配分!$D$1, A624=③資金配分!$D$2, B624=③資金配分!$D$1, B624=③資金配分!$D$2, C624=③資金配分!$D$1, C624=③資金配分!$D$2), 0, IF(OR(A624=③資金配分!$D$4, A624=③資金配分!$D$5, A624=③資金配分!$D$6, B624=③資金配分!$D$4, B624=③資金配分!$D$5, B624=③資金配分!$D$6, C624=③資金配分!$D$4, C624=③資金配分!$D$5, C624=③資金配分!$D$6), 0, IF(AND(③資金配分!$B$8&gt;0, G624&lt;=③資金配分!$B$8), 1, 0))))</f>
        <v>0</v>
      </c>
      <c r="I624">
        <f t="shared" si="19"/>
        <v>0</v>
      </c>
      <c r="J624">
        <f>IF(I624&gt;0, ROUND((I624 / SUM($I$2:$I$817)) * ③資金配分!$B$7, -2), 0)</f>
        <v>0</v>
      </c>
    </row>
    <row r="625" spans="1:10" x14ac:dyDescent="0.4">
      <c r="A625">
        <v>7</v>
      </c>
      <c r="B625">
        <v>11</v>
      </c>
      <c r="C625">
        <v>12</v>
      </c>
      <c r="D625">
        <f>IFERROR(IF(_xlfn.XLOOKUP(A625, ①オッズ入力!$A$2:$A$19, ①オッズ入力!$D$2:$D$19, "")="", 0, _xlfn.XLOOKUP(A625, ①オッズ入力!$A$2:$A$19, ①オッズ入力!$D$2:$D$19, 0)), 0)</f>
        <v>2.9775022002530085E-2</v>
      </c>
      <c r="E625">
        <f>IFERROR(IF(_xlfn.XLOOKUP(B625, ①オッズ入力!$A$2:$A$19, ①オッズ入力!$D$2:$D$19, "")="", 0, _xlfn.XLOOKUP(B625, ①オッズ入力!$A$2:$A$19, ①オッズ入力!$D$2:$D$19, 0)), 0)</f>
        <v>1.6240921092289137E-2</v>
      </c>
      <c r="F625">
        <f>IFERROR(IF(_xlfn.XLOOKUP(C625, ①オッズ入力!$A$2:$A$19, ①オッズ入力!$D$2:$D$19, "")="", 0, _xlfn.XLOOKUP(C625, ①オッズ入力!$A$2:$A$19, ①オッズ入力!$D$2:$D$19, 0)), 0)</f>
        <v>1.4887511001265043E-2</v>
      </c>
      <c r="G625">
        <f t="shared" si="18"/>
        <v>138904.12952107025</v>
      </c>
      <c r="H625">
        <f>IF(G625="", 0, IF(OR(A625=③資金配分!$D$1, A625=③資金配分!$D$2, B625=③資金配分!$D$1, B625=③資金配分!$D$2, C625=③資金配分!$D$1, C625=③資金配分!$D$2), 0, IF(OR(A625=③資金配分!$D$4, A625=③資金配分!$D$5, A625=③資金配分!$D$6, B625=③資金配分!$D$4, B625=③資金配分!$D$5, B625=③資金配分!$D$6, C625=③資金配分!$D$4, C625=③資金配分!$D$5, C625=③資金配分!$D$6), 0, IF(AND(③資金配分!$B$8&gt;0, G625&lt;=③資金配分!$B$8), 1, 0))))</f>
        <v>0</v>
      </c>
      <c r="I625">
        <f t="shared" si="19"/>
        <v>0</v>
      </c>
      <c r="J625">
        <f>IF(I625&gt;0, ROUND((I625 / SUM($I$2:$I$817)) * ③資金配分!$B$7, -2), 0)</f>
        <v>0</v>
      </c>
    </row>
    <row r="626" spans="1:10" x14ac:dyDescent="0.4">
      <c r="A626">
        <v>7</v>
      </c>
      <c r="B626">
        <v>11</v>
      </c>
      <c r="C626">
        <v>13</v>
      </c>
      <c r="D626">
        <f>IFERROR(IF(_xlfn.XLOOKUP(A626, ①オッズ入力!$A$2:$A$19, ①オッズ入力!$D$2:$D$19, "")="", 0, _xlfn.XLOOKUP(A626, ①オッズ入力!$A$2:$A$19, ①オッズ入力!$D$2:$D$19, 0)), 0)</f>
        <v>2.9775022002530085E-2</v>
      </c>
      <c r="E626">
        <f>IFERROR(IF(_xlfn.XLOOKUP(B626, ①オッズ入力!$A$2:$A$19, ①オッズ入力!$D$2:$D$19, "")="", 0, _xlfn.XLOOKUP(B626, ①オッズ入力!$A$2:$A$19, ①オッズ入力!$D$2:$D$19, 0)), 0)</f>
        <v>1.6240921092289137E-2</v>
      </c>
      <c r="F626">
        <f>IFERROR(IF(_xlfn.XLOOKUP(C626, ①オッズ入力!$A$2:$A$19, ①オッズ入力!$D$2:$D$19, "")="", 0, _xlfn.XLOOKUP(C626, ①オッズ入力!$A$2:$A$19, ①オッズ入力!$D$2:$D$19, 0)), 0)</f>
        <v>1.2760723715370036E-2</v>
      </c>
      <c r="G626">
        <f t="shared" si="18"/>
        <v>162054.81777458196</v>
      </c>
      <c r="H626">
        <f>IF(G626="", 0, IF(OR(A626=③資金配分!$D$1, A626=③資金配分!$D$2, B626=③資金配分!$D$1, B626=③資金配分!$D$2, C626=③資金配分!$D$1, C626=③資金配分!$D$2), 0, IF(OR(A626=③資金配分!$D$4, A626=③資金配分!$D$5, A626=③資金配分!$D$6, B626=③資金配分!$D$4, B626=③資金配分!$D$5, B626=③資金配分!$D$6, C626=③資金配分!$D$4, C626=③資金配分!$D$5, C626=③資金配分!$D$6), 0, IF(AND(③資金配分!$B$8&gt;0, G626&lt;=③資金配分!$B$8), 1, 0))))</f>
        <v>0</v>
      </c>
      <c r="I626">
        <f t="shared" si="19"/>
        <v>0</v>
      </c>
      <c r="J626">
        <f>IF(I626&gt;0, ROUND((I626 / SUM($I$2:$I$817)) * ③資金配分!$B$7, -2), 0)</f>
        <v>0</v>
      </c>
    </row>
    <row r="627" spans="1:10" x14ac:dyDescent="0.4">
      <c r="A627">
        <v>7</v>
      </c>
      <c r="B627">
        <v>11</v>
      </c>
      <c r="C627">
        <v>14</v>
      </c>
      <c r="D627">
        <f>IFERROR(IF(_xlfn.XLOOKUP(A627, ①オッズ入力!$A$2:$A$19, ①オッズ入力!$D$2:$D$19, "")="", 0, _xlfn.XLOOKUP(A627, ①オッズ入力!$A$2:$A$19, ①オッズ入力!$D$2:$D$19, 0)), 0)</f>
        <v>2.9775022002530085E-2</v>
      </c>
      <c r="E627">
        <f>IFERROR(IF(_xlfn.XLOOKUP(B627, ①オッズ入力!$A$2:$A$19, ①オッズ入力!$D$2:$D$19, "")="", 0, _xlfn.XLOOKUP(B627, ①オッズ入力!$A$2:$A$19, ①オッズ入力!$D$2:$D$19, 0)), 0)</f>
        <v>1.6240921092289137E-2</v>
      </c>
      <c r="F627">
        <f>IFERROR(IF(_xlfn.XLOOKUP(C627, ①オッズ入力!$A$2:$A$19, ①オッズ入力!$D$2:$D$19, "")="", 0, _xlfn.XLOOKUP(C627, ①オッズ入力!$A$2:$A$19, ①オッズ入力!$D$2:$D$19, 0)), 0)</f>
        <v>1.1525814968721322E-2</v>
      </c>
      <c r="G627">
        <f t="shared" si="18"/>
        <v>179417.83396471574</v>
      </c>
      <c r="H627">
        <f>IF(G627="", 0, IF(OR(A627=③資金配分!$D$1, A627=③資金配分!$D$2, B627=③資金配分!$D$1, B627=③資金配分!$D$2, C627=③資金配分!$D$1, C627=③資金配分!$D$2), 0, IF(OR(A627=③資金配分!$D$4, A627=③資金配分!$D$5, A627=③資金配分!$D$6, B627=③資金配分!$D$4, B627=③資金配分!$D$5, B627=③資金配分!$D$6, C627=③資金配分!$D$4, C627=③資金配分!$D$5, C627=③資金配分!$D$6), 0, IF(AND(③資金配分!$B$8&gt;0, G627&lt;=③資金配分!$B$8), 1, 0))))</f>
        <v>0</v>
      </c>
      <c r="I627">
        <f t="shared" si="19"/>
        <v>0</v>
      </c>
      <c r="J627">
        <f>IF(I627&gt;0, ROUND((I627 / SUM($I$2:$I$817)) * ③資金配分!$B$7, -2), 0)</f>
        <v>0</v>
      </c>
    </row>
    <row r="628" spans="1:10" x14ac:dyDescent="0.4">
      <c r="A628">
        <v>7</v>
      </c>
      <c r="B628">
        <v>11</v>
      </c>
      <c r="C628">
        <v>15</v>
      </c>
      <c r="D628">
        <f>IFERROR(IF(_xlfn.XLOOKUP(A628, ①オッズ入力!$A$2:$A$19, ①オッズ入力!$D$2:$D$19, "")="", 0, _xlfn.XLOOKUP(A628, ①オッズ入力!$A$2:$A$19, ①オッズ入力!$D$2:$D$19, 0)), 0)</f>
        <v>2.9775022002530085E-2</v>
      </c>
      <c r="E628">
        <f>IFERROR(IF(_xlfn.XLOOKUP(B628, ①オッズ入力!$A$2:$A$19, ①オッズ入力!$D$2:$D$19, "")="", 0, _xlfn.XLOOKUP(B628, ①オッズ入力!$A$2:$A$19, ①オッズ入力!$D$2:$D$19, 0)), 0)</f>
        <v>1.6240921092289137E-2</v>
      </c>
      <c r="F628">
        <f>IFERROR(IF(_xlfn.XLOOKUP(C628, ①オッズ入力!$A$2:$A$19, ①オッズ入力!$D$2:$D$19, "")="", 0, _xlfn.XLOOKUP(C628, ①オッズ入力!$A$2:$A$19, ①オッズ入力!$D$2:$D$19, 0)), 0)</f>
        <v>1.0697612695519792E-2</v>
      </c>
      <c r="G628">
        <f t="shared" si="18"/>
        <v>193308.24691682277</v>
      </c>
      <c r="H628">
        <f>IF(G628="", 0, IF(OR(A628=③資金配分!$D$1, A628=③資金配分!$D$2, B628=③資金配分!$D$1, B628=③資金配分!$D$2, C628=③資金配分!$D$1, C628=③資金配分!$D$2), 0, IF(OR(A628=③資金配分!$D$4, A628=③資金配分!$D$5, A628=③資金配分!$D$6, B628=③資金配分!$D$4, B628=③資金配分!$D$5, B628=③資金配分!$D$6, C628=③資金配分!$D$4, C628=③資金配分!$D$5, C628=③資金配分!$D$6), 0, IF(AND(③資金配分!$B$8&gt;0, G628&lt;=③資金配分!$B$8), 1, 0))))</f>
        <v>0</v>
      </c>
      <c r="I628">
        <f t="shared" si="19"/>
        <v>0</v>
      </c>
      <c r="J628">
        <f>IF(I628&gt;0, ROUND((I628 / SUM($I$2:$I$817)) * ③資金配分!$B$7, -2), 0)</f>
        <v>0</v>
      </c>
    </row>
    <row r="629" spans="1:10" x14ac:dyDescent="0.4">
      <c r="A629">
        <v>7</v>
      </c>
      <c r="B629">
        <v>11</v>
      </c>
      <c r="C629">
        <v>16</v>
      </c>
      <c r="D629">
        <f>IFERROR(IF(_xlfn.XLOOKUP(A629, ①オッズ入力!$A$2:$A$19, ①オッズ入力!$D$2:$D$19, "")="", 0, _xlfn.XLOOKUP(A629, ①オッズ入力!$A$2:$A$19, ①オッズ入力!$D$2:$D$19, 0)), 0)</f>
        <v>2.9775022002530085E-2</v>
      </c>
      <c r="E629">
        <f>IFERROR(IF(_xlfn.XLOOKUP(B629, ①オッズ入力!$A$2:$A$19, ①オッズ入力!$D$2:$D$19, "")="", 0, _xlfn.XLOOKUP(B629, ①オッズ入力!$A$2:$A$19, ①オッズ入力!$D$2:$D$19, 0)), 0)</f>
        <v>1.6240921092289137E-2</v>
      </c>
      <c r="F629">
        <f>IFERROR(IF(_xlfn.XLOOKUP(C629, ①オッズ入力!$A$2:$A$19, ①オッズ入力!$D$2:$D$19, "")="", 0, _xlfn.XLOOKUP(C629, ①オッズ入力!$A$2:$A$19, ①オッズ入力!$D$2:$D$19, 0)), 0)</f>
        <v>9.8701730395127345E-3</v>
      </c>
      <c r="G629">
        <f t="shared" si="18"/>
        <v>209513.72869428099</v>
      </c>
      <c r="H629">
        <f>IF(G629="", 0, IF(OR(A629=③資金配分!$D$1, A629=③資金配分!$D$2, B629=③資金配分!$D$1, B629=③資金配分!$D$2, C629=③資金配分!$D$1, C629=③資金配分!$D$2), 0, IF(OR(A629=③資金配分!$D$4, A629=③資金配分!$D$5, A629=③資金配分!$D$6, B629=③資金配分!$D$4, B629=③資金配分!$D$5, B629=③資金配分!$D$6, C629=③資金配分!$D$4, C629=③資金配分!$D$5, C629=③資金配分!$D$6), 0, IF(AND(③資金配分!$B$8&gt;0, G629&lt;=③資金配分!$B$8), 1, 0))))</f>
        <v>0</v>
      </c>
      <c r="I629">
        <f t="shared" si="19"/>
        <v>0</v>
      </c>
      <c r="J629">
        <f>IF(I629&gt;0, ROUND((I629 / SUM($I$2:$I$817)) * ③資金配分!$B$7, -2), 0)</f>
        <v>0</v>
      </c>
    </row>
    <row r="630" spans="1:10" x14ac:dyDescent="0.4">
      <c r="A630">
        <v>7</v>
      </c>
      <c r="B630">
        <v>11</v>
      </c>
      <c r="C630">
        <v>17</v>
      </c>
      <c r="D630">
        <f>IFERROR(IF(_xlfn.XLOOKUP(A630, ①オッズ入力!$A$2:$A$19, ①オッズ入力!$D$2:$D$19, "")="", 0, _xlfn.XLOOKUP(A630, ①オッズ入力!$A$2:$A$19, ①オッズ入力!$D$2:$D$19, 0)), 0)</f>
        <v>2.9775022002530085E-2</v>
      </c>
      <c r="E630">
        <f>IFERROR(IF(_xlfn.XLOOKUP(B630, ①オッズ入力!$A$2:$A$19, ①オッズ入力!$D$2:$D$19, "")="", 0, _xlfn.XLOOKUP(B630, ①オッズ入力!$A$2:$A$19, ①オッズ入力!$D$2:$D$19, 0)), 0)</f>
        <v>1.6240921092289137E-2</v>
      </c>
      <c r="F630">
        <f>IFERROR(IF(_xlfn.XLOOKUP(C630, ①オッズ入力!$A$2:$A$19, ①オッズ入力!$D$2:$D$19, "")="", 0, _xlfn.XLOOKUP(C630, ①オッズ入力!$A$2:$A$19, ①オッズ入力!$D$2:$D$19, 0)), 0)</f>
        <v>9.1615452315477186E-3</v>
      </c>
      <c r="G630">
        <f t="shared" si="18"/>
        <v>225719.21047173912</v>
      </c>
      <c r="H630">
        <f>IF(G630="", 0, IF(OR(A630=③資金配分!$D$1, A630=③資金配分!$D$2, B630=③資金配分!$D$1, B630=③資金配分!$D$2, C630=③資金配分!$D$1, C630=③資金配分!$D$2), 0, IF(OR(A630=③資金配分!$D$4, A630=③資金配分!$D$5, A630=③資金配分!$D$6, B630=③資金配分!$D$4, B630=③資金配分!$D$5, B630=③資金配分!$D$6, C630=③資金配分!$D$4, C630=③資金配分!$D$5, C630=③資金配分!$D$6), 0, IF(AND(③資金配分!$B$8&gt;0, G630&lt;=③資金配分!$B$8), 1, 0))))</f>
        <v>0</v>
      </c>
      <c r="I630">
        <f t="shared" si="19"/>
        <v>0</v>
      </c>
      <c r="J630">
        <f>IF(I630&gt;0, ROUND((I630 / SUM($I$2:$I$817)) * ③資金配分!$B$7, -2), 0)</f>
        <v>0</v>
      </c>
    </row>
    <row r="631" spans="1:10" x14ac:dyDescent="0.4">
      <c r="A631">
        <v>7</v>
      </c>
      <c r="B631">
        <v>11</v>
      </c>
      <c r="C631">
        <v>18</v>
      </c>
      <c r="D631">
        <f>IFERROR(IF(_xlfn.XLOOKUP(A631, ①オッズ入力!$A$2:$A$19, ①オッズ入力!$D$2:$D$19, "")="", 0, _xlfn.XLOOKUP(A631, ①オッズ入力!$A$2:$A$19, ①オッズ入力!$D$2:$D$19, 0)), 0)</f>
        <v>2.9775022002530085E-2</v>
      </c>
      <c r="E631">
        <f>IFERROR(IF(_xlfn.XLOOKUP(B631, ①オッズ入力!$A$2:$A$19, ①オッズ入力!$D$2:$D$19, "")="", 0, _xlfn.XLOOKUP(B631, ①オッズ入力!$A$2:$A$19, ①オッズ入力!$D$2:$D$19, 0)), 0)</f>
        <v>1.6240921092289137E-2</v>
      </c>
      <c r="F631">
        <f>IFERROR(IF(_xlfn.XLOOKUP(C631, ①オッズ入力!$A$2:$A$19, ①オッズ入力!$D$2:$D$19, "")="", 0, _xlfn.XLOOKUP(C631, ①オッズ入力!$A$2:$A$19, ①オッズ入力!$D$2:$D$19, 0)), 0)</f>
        <v>8.5478532064679671E-3</v>
      </c>
      <c r="G631">
        <f t="shared" si="18"/>
        <v>241924.69224919737</v>
      </c>
      <c r="H631">
        <f>IF(G631="", 0, IF(OR(A631=③資金配分!$D$1, A631=③資金配分!$D$2, B631=③資金配分!$D$1, B631=③資金配分!$D$2, C631=③資金配分!$D$1, C631=③資金配分!$D$2), 0, IF(OR(A631=③資金配分!$D$4, A631=③資金配分!$D$5, A631=③資金配分!$D$6, B631=③資金配分!$D$4, B631=③資金配分!$D$5, B631=③資金配分!$D$6, C631=③資金配分!$D$4, C631=③資金配分!$D$5, C631=③資金配分!$D$6), 0, IF(AND(③資金配分!$B$8&gt;0, G631&lt;=③資金配分!$B$8), 1, 0))))</f>
        <v>0</v>
      </c>
      <c r="I631">
        <f t="shared" si="19"/>
        <v>0</v>
      </c>
      <c r="J631">
        <f>IF(I631&gt;0, ROUND((I631 / SUM($I$2:$I$817)) * ③資金配分!$B$7, -2), 0)</f>
        <v>0</v>
      </c>
    </row>
    <row r="632" spans="1:10" x14ac:dyDescent="0.4">
      <c r="A632">
        <v>7</v>
      </c>
      <c r="B632">
        <v>12</v>
      </c>
      <c r="C632">
        <v>13</v>
      </c>
      <c r="D632">
        <f>IFERROR(IF(_xlfn.XLOOKUP(A632, ①オッズ入力!$A$2:$A$19, ①オッズ入力!$D$2:$D$19, "")="", 0, _xlfn.XLOOKUP(A632, ①オッズ入力!$A$2:$A$19, ①オッズ入力!$D$2:$D$19, 0)), 0)</f>
        <v>2.9775022002530085E-2</v>
      </c>
      <c r="E632">
        <f>IFERROR(IF(_xlfn.XLOOKUP(B632, ①オッズ入力!$A$2:$A$19, ①オッズ入力!$D$2:$D$19, "")="", 0, _xlfn.XLOOKUP(B632, ①オッズ入力!$A$2:$A$19, ①オッズ入力!$D$2:$D$19, 0)), 0)</f>
        <v>1.4887511001265043E-2</v>
      </c>
      <c r="F632">
        <f>IFERROR(IF(_xlfn.XLOOKUP(C632, ①オッズ入力!$A$2:$A$19, ①オッズ入力!$D$2:$D$19, "")="", 0, _xlfn.XLOOKUP(C632, ①オッズ入力!$A$2:$A$19, ①オッズ入力!$D$2:$D$19, 0)), 0)</f>
        <v>1.2760723715370036E-2</v>
      </c>
      <c r="G632">
        <f t="shared" si="18"/>
        <v>176787.0739359076</v>
      </c>
      <c r="H632">
        <f>IF(G632="", 0, IF(OR(A632=③資金配分!$D$1, A632=③資金配分!$D$2, B632=③資金配分!$D$1, B632=③資金配分!$D$2, C632=③資金配分!$D$1, C632=③資金配分!$D$2), 0, IF(OR(A632=③資金配分!$D$4, A632=③資金配分!$D$5, A632=③資金配分!$D$6, B632=③資金配分!$D$4, B632=③資金配分!$D$5, B632=③資金配分!$D$6, C632=③資金配分!$D$4, C632=③資金配分!$D$5, C632=③資金配分!$D$6), 0, IF(AND(③資金配分!$B$8&gt;0, G632&lt;=③資金配分!$B$8), 1, 0))))</f>
        <v>0</v>
      </c>
      <c r="I632">
        <f t="shared" si="19"/>
        <v>0</v>
      </c>
      <c r="J632">
        <f>IF(I632&gt;0, ROUND((I632 / SUM($I$2:$I$817)) * ③資金配分!$B$7, -2), 0)</f>
        <v>0</v>
      </c>
    </row>
    <row r="633" spans="1:10" x14ac:dyDescent="0.4">
      <c r="A633">
        <v>7</v>
      </c>
      <c r="B633">
        <v>12</v>
      </c>
      <c r="C633">
        <v>14</v>
      </c>
      <c r="D633">
        <f>IFERROR(IF(_xlfn.XLOOKUP(A633, ①オッズ入力!$A$2:$A$19, ①オッズ入力!$D$2:$D$19, "")="", 0, _xlfn.XLOOKUP(A633, ①オッズ入力!$A$2:$A$19, ①オッズ入力!$D$2:$D$19, 0)), 0)</f>
        <v>2.9775022002530085E-2</v>
      </c>
      <c r="E633">
        <f>IFERROR(IF(_xlfn.XLOOKUP(B633, ①オッズ入力!$A$2:$A$19, ①オッズ入力!$D$2:$D$19, "")="", 0, _xlfn.XLOOKUP(B633, ①オッズ入力!$A$2:$A$19, ①オッズ入力!$D$2:$D$19, 0)), 0)</f>
        <v>1.4887511001265043E-2</v>
      </c>
      <c r="F633">
        <f>IFERROR(IF(_xlfn.XLOOKUP(C633, ①オッズ入力!$A$2:$A$19, ①オッズ入力!$D$2:$D$19, "")="", 0, _xlfn.XLOOKUP(C633, ①オッズ入力!$A$2:$A$19, ①オッズ入力!$D$2:$D$19, 0)), 0)</f>
        <v>1.1525814968721322E-2</v>
      </c>
      <c r="G633">
        <f t="shared" si="18"/>
        <v>195728.54614332627</v>
      </c>
      <c r="H633">
        <f>IF(G633="", 0, IF(OR(A633=③資金配分!$D$1, A633=③資金配分!$D$2, B633=③資金配分!$D$1, B633=③資金配分!$D$2, C633=③資金配分!$D$1, C633=③資金配分!$D$2), 0, IF(OR(A633=③資金配分!$D$4, A633=③資金配分!$D$5, A633=③資金配分!$D$6, B633=③資金配分!$D$4, B633=③資金配分!$D$5, B633=③資金配分!$D$6, C633=③資金配分!$D$4, C633=③資金配分!$D$5, C633=③資金配分!$D$6), 0, IF(AND(③資金配分!$B$8&gt;0, G633&lt;=③資金配分!$B$8), 1, 0))))</f>
        <v>0</v>
      </c>
      <c r="I633">
        <f t="shared" si="19"/>
        <v>0</v>
      </c>
      <c r="J633">
        <f>IF(I633&gt;0, ROUND((I633 / SUM($I$2:$I$817)) * ③資金配分!$B$7, -2), 0)</f>
        <v>0</v>
      </c>
    </row>
    <row r="634" spans="1:10" x14ac:dyDescent="0.4">
      <c r="A634">
        <v>7</v>
      </c>
      <c r="B634">
        <v>12</v>
      </c>
      <c r="C634">
        <v>15</v>
      </c>
      <c r="D634">
        <f>IFERROR(IF(_xlfn.XLOOKUP(A634, ①オッズ入力!$A$2:$A$19, ①オッズ入力!$D$2:$D$19, "")="", 0, _xlfn.XLOOKUP(A634, ①オッズ入力!$A$2:$A$19, ①オッズ入力!$D$2:$D$19, 0)), 0)</f>
        <v>2.9775022002530085E-2</v>
      </c>
      <c r="E634">
        <f>IFERROR(IF(_xlfn.XLOOKUP(B634, ①オッズ入力!$A$2:$A$19, ①オッズ入力!$D$2:$D$19, "")="", 0, _xlfn.XLOOKUP(B634, ①オッズ入力!$A$2:$A$19, ①オッズ入力!$D$2:$D$19, 0)), 0)</f>
        <v>1.4887511001265043E-2</v>
      </c>
      <c r="F634">
        <f>IFERROR(IF(_xlfn.XLOOKUP(C634, ①オッズ入力!$A$2:$A$19, ①オッズ入力!$D$2:$D$19, "")="", 0, _xlfn.XLOOKUP(C634, ①オッズ入力!$A$2:$A$19, ①オッズ入力!$D$2:$D$19, 0)), 0)</f>
        <v>1.0697612695519792E-2</v>
      </c>
      <c r="G634">
        <f t="shared" si="18"/>
        <v>210881.72390926117</v>
      </c>
      <c r="H634">
        <f>IF(G634="", 0, IF(OR(A634=③資金配分!$D$1, A634=③資金配分!$D$2, B634=③資金配分!$D$1, B634=③資金配分!$D$2, C634=③資金配分!$D$1, C634=③資金配分!$D$2), 0, IF(OR(A634=③資金配分!$D$4, A634=③資金配分!$D$5, A634=③資金配分!$D$6, B634=③資金配分!$D$4, B634=③資金配分!$D$5, B634=③資金配分!$D$6, C634=③資金配分!$D$4, C634=③資金配分!$D$5, C634=③資金配分!$D$6), 0, IF(AND(③資金配分!$B$8&gt;0, G634&lt;=③資金配分!$B$8), 1, 0))))</f>
        <v>0</v>
      </c>
      <c r="I634">
        <f t="shared" si="19"/>
        <v>0</v>
      </c>
      <c r="J634">
        <f>IF(I634&gt;0, ROUND((I634 / SUM($I$2:$I$817)) * ③資金配分!$B$7, -2), 0)</f>
        <v>0</v>
      </c>
    </row>
    <row r="635" spans="1:10" x14ac:dyDescent="0.4">
      <c r="A635">
        <v>7</v>
      </c>
      <c r="B635">
        <v>12</v>
      </c>
      <c r="C635">
        <v>16</v>
      </c>
      <c r="D635">
        <f>IFERROR(IF(_xlfn.XLOOKUP(A635, ①オッズ入力!$A$2:$A$19, ①オッズ入力!$D$2:$D$19, "")="", 0, _xlfn.XLOOKUP(A635, ①オッズ入力!$A$2:$A$19, ①オッズ入力!$D$2:$D$19, 0)), 0)</f>
        <v>2.9775022002530085E-2</v>
      </c>
      <c r="E635">
        <f>IFERROR(IF(_xlfn.XLOOKUP(B635, ①オッズ入力!$A$2:$A$19, ①オッズ入力!$D$2:$D$19, "")="", 0, _xlfn.XLOOKUP(B635, ①オッズ入力!$A$2:$A$19, ①オッズ入力!$D$2:$D$19, 0)), 0)</f>
        <v>1.4887511001265043E-2</v>
      </c>
      <c r="F635">
        <f>IFERROR(IF(_xlfn.XLOOKUP(C635, ①オッズ入力!$A$2:$A$19, ①オッズ入力!$D$2:$D$19, "")="", 0, _xlfn.XLOOKUP(C635, ①オッズ入力!$A$2:$A$19, ①オッズ入力!$D$2:$D$19, 0)), 0)</f>
        <v>9.8701730395127345E-3</v>
      </c>
      <c r="G635">
        <f t="shared" si="18"/>
        <v>228560.43130285194</v>
      </c>
      <c r="H635">
        <f>IF(G635="", 0, IF(OR(A635=③資金配分!$D$1, A635=③資金配分!$D$2, B635=③資金配分!$D$1, B635=③資金配分!$D$2, C635=③資金配分!$D$1, C635=③資金配分!$D$2), 0, IF(OR(A635=③資金配分!$D$4, A635=③資金配分!$D$5, A635=③資金配分!$D$6, B635=③資金配分!$D$4, B635=③資金配分!$D$5, B635=③資金配分!$D$6, C635=③資金配分!$D$4, C635=③資金配分!$D$5, C635=③資金配分!$D$6), 0, IF(AND(③資金配分!$B$8&gt;0, G635&lt;=③資金配分!$B$8), 1, 0))))</f>
        <v>0</v>
      </c>
      <c r="I635">
        <f t="shared" si="19"/>
        <v>0</v>
      </c>
      <c r="J635">
        <f>IF(I635&gt;0, ROUND((I635 / SUM($I$2:$I$817)) * ③資金配分!$B$7, -2), 0)</f>
        <v>0</v>
      </c>
    </row>
    <row r="636" spans="1:10" x14ac:dyDescent="0.4">
      <c r="A636">
        <v>7</v>
      </c>
      <c r="B636">
        <v>12</v>
      </c>
      <c r="C636">
        <v>17</v>
      </c>
      <c r="D636">
        <f>IFERROR(IF(_xlfn.XLOOKUP(A636, ①オッズ入力!$A$2:$A$19, ①オッズ入力!$D$2:$D$19, "")="", 0, _xlfn.XLOOKUP(A636, ①オッズ入力!$A$2:$A$19, ①オッズ入力!$D$2:$D$19, 0)), 0)</f>
        <v>2.9775022002530085E-2</v>
      </c>
      <c r="E636">
        <f>IFERROR(IF(_xlfn.XLOOKUP(B636, ①オッズ入力!$A$2:$A$19, ①オッズ入力!$D$2:$D$19, "")="", 0, _xlfn.XLOOKUP(B636, ①オッズ入力!$A$2:$A$19, ①オッズ入力!$D$2:$D$19, 0)), 0)</f>
        <v>1.4887511001265043E-2</v>
      </c>
      <c r="F636">
        <f>IFERROR(IF(_xlfn.XLOOKUP(C636, ①オッズ入力!$A$2:$A$19, ①オッズ入力!$D$2:$D$19, "")="", 0, _xlfn.XLOOKUP(C636, ①オッズ入力!$A$2:$A$19, ①オッズ入力!$D$2:$D$19, 0)), 0)</f>
        <v>9.1615452315477186E-3</v>
      </c>
      <c r="G636">
        <f t="shared" si="18"/>
        <v>246239.13869644268</v>
      </c>
      <c r="H636">
        <f>IF(G636="", 0, IF(OR(A636=③資金配分!$D$1, A636=③資金配分!$D$2, B636=③資金配分!$D$1, B636=③資金配分!$D$2, C636=③資金配分!$D$1, C636=③資金配分!$D$2), 0, IF(OR(A636=③資金配分!$D$4, A636=③資金配分!$D$5, A636=③資金配分!$D$6, B636=③資金配分!$D$4, B636=③資金配分!$D$5, B636=③資金配分!$D$6, C636=③資金配分!$D$4, C636=③資金配分!$D$5, C636=③資金配分!$D$6), 0, IF(AND(③資金配分!$B$8&gt;0, G636&lt;=③資金配分!$B$8), 1, 0))))</f>
        <v>0</v>
      </c>
      <c r="I636">
        <f t="shared" si="19"/>
        <v>0</v>
      </c>
      <c r="J636">
        <f>IF(I636&gt;0, ROUND((I636 / SUM($I$2:$I$817)) * ③資金配分!$B$7, -2), 0)</f>
        <v>0</v>
      </c>
    </row>
    <row r="637" spans="1:10" x14ac:dyDescent="0.4">
      <c r="A637">
        <v>7</v>
      </c>
      <c r="B637">
        <v>12</v>
      </c>
      <c r="C637">
        <v>18</v>
      </c>
      <c r="D637">
        <f>IFERROR(IF(_xlfn.XLOOKUP(A637, ①オッズ入力!$A$2:$A$19, ①オッズ入力!$D$2:$D$19, "")="", 0, _xlfn.XLOOKUP(A637, ①オッズ入力!$A$2:$A$19, ①オッズ入力!$D$2:$D$19, 0)), 0)</f>
        <v>2.9775022002530085E-2</v>
      </c>
      <c r="E637">
        <f>IFERROR(IF(_xlfn.XLOOKUP(B637, ①オッズ入力!$A$2:$A$19, ①オッズ入力!$D$2:$D$19, "")="", 0, _xlfn.XLOOKUP(B637, ①オッズ入力!$A$2:$A$19, ①オッズ入力!$D$2:$D$19, 0)), 0)</f>
        <v>1.4887511001265043E-2</v>
      </c>
      <c r="F637">
        <f>IFERROR(IF(_xlfn.XLOOKUP(C637, ①オッズ入力!$A$2:$A$19, ①オッズ入力!$D$2:$D$19, "")="", 0, _xlfn.XLOOKUP(C637, ①オッズ入力!$A$2:$A$19, ①オッズ入力!$D$2:$D$19, 0)), 0)</f>
        <v>8.5478532064679671E-3</v>
      </c>
      <c r="G637">
        <f t="shared" si="18"/>
        <v>263917.84609003348</v>
      </c>
      <c r="H637">
        <f>IF(G637="", 0, IF(OR(A637=③資金配分!$D$1, A637=③資金配分!$D$2, B637=③資金配分!$D$1, B637=③資金配分!$D$2, C637=③資金配分!$D$1, C637=③資金配分!$D$2), 0, IF(OR(A637=③資金配分!$D$4, A637=③資金配分!$D$5, A637=③資金配分!$D$6, B637=③資金配分!$D$4, B637=③資金配分!$D$5, B637=③資金配分!$D$6, C637=③資金配分!$D$4, C637=③資金配分!$D$5, C637=③資金配分!$D$6), 0, IF(AND(③資金配分!$B$8&gt;0, G637&lt;=③資金配分!$B$8), 1, 0))))</f>
        <v>0</v>
      </c>
      <c r="I637">
        <f t="shared" si="19"/>
        <v>0</v>
      </c>
      <c r="J637">
        <f>IF(I637&gt;0, ROUND((I637 / SUM($I$2:$I$817)) * ③資金配分!$B$7, -2), 0)</f>
        <v>0</v>
      </c>
    </row>
    <row r="638" spans="1:10" x14ac:dyDescent="0.4">
      <c r="A638">
        <v>7</v>
      </c>
      <c r="B638">
        <v>13</v>
      </c>
      <c r="C638">
        <v>14</v>
      </c>
      <c r="D638">
        <f>IFERROR(IF(_xlfn.XLOOKUP(A638, ①オッズ入力!$A$2:$A$19, ①オッズ入力!$D$2:$D$19, "")="", 0, _xlfn.XLOOKUP(A638, ①オッズ入力!$A$2:$A$19, ①オッズ入力!$D$2:$D$19, 0)), 0)</f>
        <v>2.9775022002530085E-2</v>
      </c>
      <c r="E638">
        <f>IFERROR(IF(_xlfn.XLOOKUP(B638, ①オッズ入力!$A$2:$A$19, ①オッズ入力!$D$2:$D$19, "")="", 0, _xlfn.XLOOKUP(B638, ①オッズ入力!$A$2:$A$19, ①オッズ入力!$D$2:$D$19, 0)), 0)</f>
        <v>1.2760723715370036E-2</v>
      </c>
      <c r="F638">
        <f>IFERROR(IF(_xlfn.XLOOKUP(C638, ①オッズ入力!$A$2:$A$19, ①オッズ入力!$D$2:$D$19, "")="", 0, _xlfn.XLOOKUP(C638, ①オッズ入力!$A$2:$A$19, ①オッズ入力!$D$2:$D$19, 0)), 0)</f>
        <v>1.1525814968721322E-2</v>
      </c>
      <c r="G638">
        <f t="shared" si="18"/>
        <v>228349.97050054729</v>
      </c>
      <c r="H638">
        <f>IF(G638="", 0, IF(OR(A638=③資金配分!$D$1, A638=③資金配分!$D$2, B638=③資金配分!$D$1, B638=③資金配分!$D$2, C638=③資金配分!$D$1, C638=③資金配分!$D$2), 0, IF(OR(A638=③資金配分!$D$4, A638=③資金配分!$D$5, A638=③資金配分!$D$6, B638=③資金配分!$D$4, B638=③資金配分!$D$5, B638=③資金配分!$D$6, C638=③資金配分!$D$4, C638=③資金配分!$D$5, C638=③資金配分!$D$6), 0, IF(AND(③資金配分!$B$8&gt;0, G638&lt;=③資金配分!$B$8), 1, 0))))</f>
        <v>0</v>
      </c>
      <c r="I638">
        <f t="shared" si="19"/>
        <v>0</v>
      </c>
      <c r="J638">
        <f>IF(I638&gt;0, ROUND((I638 / SUM($I$2:$I$817)) * ③資金配分!$B$7, -2), 0)</f>
        <v>0</v>
      </c>
    </row>
    <row r="639" spans="1:10" x14ac:dyDescent="0.4">
      <c r="A639">
        <v>7</v>
      </c>
      <c r="B639">
        <v>13</v>
      </c>
      <c r="C639">
        <v>15</v>
      </c>
      <c r="D639">
        <f>IFERROR(IF(_xlfn.XLOOKUP(A639, ①オッズ入力!$A$2:$A$19, ①オッズ入力!$D$2:$D$19, "")="", 0, _xlfn.XLOOKUP(A639, ①オッズ入力!$A$2:$A$19, ①オッズ入力!$D$2:$D$19, 0)), 0)</f>
        <v>2.9775022002530085E-2</v>
      </c>
      <c r="E639">
        <f>IFERROR(IF(_xlfn.XLOOKUP(B639, ①オッズ入力!$A$2:$A$19, ①オッズ入力!$D$2:$D$19, "")="", 0, _xlfn.XLOOKUP(B639, ①オッズ入力!$A$2:$A$19, ①オッズ入力!$D$2:$D$19, 0)), 0)</f>
        <v>1.2760723715370036E-2</v>
      </c>
      <c r="F639">
        <f>IFERROR(IF(_xlfn.XLOOKUP(C639, ①オッズ入力!$A$2:$A$19, ①オッズ入力!$D$2:$D$19, "")="", 0, _xlfn.XLOOKUP(C639, ①オッズ入力!$A$2:$A$19, ①オッズ入力!$D$2:$D$19, 0)), 0)</f>
        <v>1.0697612695519792E-2</v>
      </c>
      <c r="G639">
        <f t="shared" si="18"/>
        <v>246028.67789413803</v>
      </c>
      <c r="H639">
        <f>IF(G639="", 0, IF(OR(A639=③資金配分!$D$1, A639=③資金配分!$D$2, B639=③資金配分!$D$1, B639=③資金配分!$D$2, C639=③資金配分!$D$1, C639=③資金配分!$D$2), 0, IF(OR(A639=③資金配分!$D$4, A639=③資金配分!$D$5, A639=③資金配分!$D$6, B639=③資金配分!$D$4, B639=③資金配分!$D$5, B639=③資金配分!$D$6, C639=③資金配分!$D$4, C639=③資金配分!$D$5, C639=③資金配分!$D$6), 0, IF(AND(③資金配分!$B$8&gt;0, G639&lt;=③資金配分!$B$8), 1, 0))))</f>
        <v>0</v>
      </c>
      <c r="I639">
        <f t="shared" si="19"/>
        <v>0</v>
      </c>
      <c r="J639">
        <f>IF(I639&gt;0, ROUND((I639 / SUM($I$2:$I$817)) * ③資金配分!$B$7, -2), 0)</f>
        <v>0</v>
      </c>
    </row>
    <row r="640" spans="1:10" x14ac:dyDescent="0.4">
      <c r="A640">
        <v>7</v>
      </c>
      <c r="B640">
        <v>13</v>
      </c>
      <c r="C640">
        <v>16</v>
      </c>
      <c r="D640">
        <f>IFERROR(IF(_xlfn.XLOOKUP(A640, ①オッズ入力!$A$2:$A$19, ①オッズ入力!$D$2:$D$19, "")="", 0, _xlfn.XLOOKUP(A640, ①オッズ入力!$A$2:$A$19, ①オッズ入力!$D$2:$D$19, 0)), 0)</f>
        <v>2.9775022002530085E-2</v>
      </c>
      <c r="E640">
        <f>IFERROR(IF(_xlfn.XLOOKUP(B640, ①オッズ入力!$A$2:$A$19, ①オッズ入力!$D$2:$D$19, "")="", 0, _xlfn.XLOOKUP(B640, ①オッズ入力!$A$2:$A$19, ①オッズ入力!$D$2:$D$19, 0)), 0)</f>
        <v>1.2760723715370036E-2</v>
      </c>
      <c r="F640">
        <f>IFERROR(IF(_xlfn.XLOOKUP(C640, ①オッズ入力!$A$2:$A$19, ①オッズ入力!$D$2:$D$19, "")="", 0, _xlfn.XLOOKUP(C640, ①オッズ入力!$A$2:$A$19, ①オッズ入力!$D$2:$D$19, 0)), 0)</f>
        <v>9.8701730395127345E-3</v>
      </c>
      <c r="G640">
        <f t="shared" si="18"/>
        <v>266653.83651999396</v>
      </c>
      <c r="H640">
        <f>IF(G640="", 0, IF(OR(A640=③資金配分!$D$1, A640=③資金配分!$D$2, B640=③資金配分!$D$1, B640=③資金配分!$D$2, C640=③資金配分!$D$1, C640=③資金配分!$D$2), 0, IF(OR(A640=③資金配分!$D$4, A640=③資金配分!$D$5, A640=③資金配分!$D$6, B640=③資金配分!$D$4, B640=③資金配分!$D$5, B640=③資金配分!$D$6, C640=③資金配分!$D$4, C640=③資金配分!$D$5, C640=③資金配分!$D$6), 0, IF(AND(③資金配分!$B$8&gt;0, G640&lt;=③資金配分!$B$8), 1, 0))))</f>
        <v>0</v>
      </c>
      <c r="I640">
        <f t="shared" si="19"/>
        <v>0</v>
      </c>
      <c r="J640">
        <f>IF(I640&gt;0, ROUND((I640 / SUM($I$2:$I$817)) * ③資金配分!$B$7, -2), 0)</f>
        <v>0</v>
      </c>
    </row>
    <row r="641" spans="1:10" x14ac:dyDescent="0.4">
      <c r="A641">
        <v>7</v>
      </c>
      <c r="B641">
        <v>13</v>
      </c>
      <c r="C641">
        <v>17</v>
      </c>
      <c r="D641">
        <f>IFERROR(IF(_xlfn.XLOOKUP(A641, ①オッズ入力!$A$2:$A$19, ①オッズ入力!$D$2:$D$19, "")="", 0, _xlfn.XLOOKUP(A641, ①オッズ入力!$A$2:$A$19, ①オッズ入力!$D$2:$D$19, 0)), 0)</f>
        <v>2.9775022002530085E-2</v>
      </c>
      <c r="E641">
        <f>IFERROR(IF(_xlfn.XLOOKUP(B641, ①オッズ入力!$A$2:$A$19, ①オッズ入力!$D$2:$D$19, "")="", 0, _xlfn.XLOOKUP(B641, ①オッズ入力!$A$2:$A$19, ①オッズ入力!$D$2:$D$19, 0)), 0)</f>
        <v>1.2760723715370036E-2</v>
      </c>
      <c r="F641">
        <f>IFERROR(IF(_xlfn.XLOOKUP(C641, ①オッズ入力!$A$2:$A$19, ①オッズ入力!$D$2:$D$19, "")="", 0, _xlfn.XLOOKUP(C641, ①オッズ入力!$A$2:$A$19, ①オッズ入力!$D$2:$D$19, 0)), 0)</f>
        <v>9.1615452315477186E-3</v>
      </c>
      <c r="G641">
        <f t="shared" si="18"/>
        <v>287278.99514584983</v>
      </c>
      <c r="H641">
        <f>IF(G641="", 0, IF(OR(A641=③資金配分!$D$1, A641=③資金配分!$D$2, B641=③資金配分!$D$1, B641=③資金配分!$D$2, C641=③資金配分!$D$1, C641=③資金配分!$D$2), 0, IF(OR(A641=③資金配分!$D$4, A641=③資金配分!$D$5, A641=③資金配分!$D$6, B641=③資金配分!$D$4, B641=③資金配分!$D$5, B641=③資金配分!$D$6, C641=③資金配分!$D$4, C641=③資金配分!$D$5, C641=③資金配分!$D$6), 0, IF(AND(③資金配分!$B$8&gt;0, G641&lt;=③資金配分!$B$8), 1, 0))))</f>
        <v>0</v>
      </c>
      <c r="I641">
        <f t="shared" si="19"/>
        <v>0</v>
      </c>
      <c r="J641">
        <f>IF(I641&gt;0, ROUND((I641 / SUM($I$2:$I$817)) * ③資金配分!$B$7, -2), 0)</f>
        <v>0</v>
      </c>
    </row>
    <row r="642" spans="1:10" x14ac:dyDescent="0.4">
      <c r="A642">
        <v>7</v>
      </c>
      <c r="B642">
        <v>13</v>
      </c>
      <c r="C642">
        <v>18</v>
      </c>
      <c r="D642">
        <f>IFERROR(IF(_xlfn.XLOOKUP(A642, ①オッズ入力!$A$2:$A$19, ①オッズ入力!$D$2:$D$19, "")="", 0, _xlfn.XLOOKUP(A642, ①オッズ入力!$A$2:$A$19, ①オッズ入力!$D$2:$D$19, 0)), 0)</f>
        <v>2.9775022002530085E-2</v>
      </c>
      <c r="E642">
        <f>IFERROR(IF(_xlfn.XLOOKUP(B642, ①オッズ入力!$A$2:$A$19, ①オッズ入力!$D$2:$D$19, "")="", 0, _xlfn.XLOOKUP(B642, ①オッズ入力!$A$2:$A$19, ①オッズ入力!$D$2:$D$19, 0)), 0)</f>
        <v>1.2760723715370036E-2</v>
      </c>
      <c r="F642">
        <f>IFERROR(IF(_xlfn.XLOOKUP(C642, ①オッズ入力!$A$2:$A$19, ①オッズ入力!$D$2:$D$19, "")="", 0, _xlfn.XLOOKUP(C642, ①オッズ入力!$A$2:$A$19, ①オッズ入力!$D$2:$D$19, 0)), 0)</f>
        <v>8.5478532064679671E-3</v>
      </c>
      <c r="G642">
        <f t="shared" si="18"/>
        <v>307904.15377170569</v>
      </c>
      <c r="H642">
        <f>IF(G642="", 0, IF(OR(A642=③資金配分!$D$1, A642=③資金配分!$D$2, B642=③資金配分!$D$1, B642=③資金配分!$D$2, C642=③資金配分!$D$1, C642=③資金配分!$D$2), 0, IF(OR(A642=③資金配分!$D$4, A642=③資金配分!$D$5, A642=③資金配分!$D$6, B642=③資金配分!$D$4, B642=③資金配分!$D$5, B642=③資金配分!$D$6, C642=③資金配分!$D$4, C642=③資金配分!$D$5, C642=③資金配分!$D$6), 0, IF(AND(③資金配分!$B$8&gt;0, G642&lt;=③資金配分!$B$8), 1, 0))))</f>
        <v>0</v>
      </c>
      <c r="I642">
        <f t="shared" si="19"/>
        <v>0</v>
      </c>
      <c r="J642">
        <f>IF(I642&gt;0, ROUND((I642 / SUM($I$2:$I$817)) * ③資金配分!$B$7, -2), 0)</f>
        <v>0</v>
      </c>
    </row>
    <row r="643" spans="1:10" x14ac:dyDescent="0.4">
      <c r="A643">
        <v>7</v>
      </c>
      <c r="B643">
        <v>14</v>
      </c>
      <c r="C643">
        <v>15</v>
      </c>
      <c r="D643">
        <f>IFERROR(IF(_xlfn.XLOOKUP(A643, ①オッズ入力!$A$2:$A$19, ①オッズ入力!$D$2:$D$19, "")="", 0, _xlfn.XLOOKUP(A643, ①オッズ入力!$A$2:$A$19, ①オッズ入力!$D$2:$D$19, 0)), 0)</f>
        <v>2.9775022002530085E-2</v>
      </c>
      <c r="E643">
        <f>IFERROR(IF(_xlfn.XLOOKUP(B643, ①オッズ入力!$A$2:$A$19, ①オッズ入力!$D$2:$D$19, "")="", 0, _xlfn.XLOOKUP(B643, ①オッズ入力!$A$2:$A$19, ①オッズ入力!$D$2:$D$19, 0)), 0)</f>
        <v>1.1525814968721322E-2</v>
      </c>
      <c r="F643">
        <f>IFERROR(IF(_xlfn.XLOOKUP(C643, ①オッズ入力!$A$2:$A$19, ①オッズ入力!$D$2:$D$19, "")="", 0, _xlfn.XLOOKUP(C643, ①オッズ入力!$A$2:$A$19, ①オッズ入力!$D$2:$D$19, 0)), 0)</f>
        <v>1.0697612695519792E-2</v>
      </c>
      <c r="G643">
        <f t="shared" ref="G643:G706" si="20">IF(OR(D643=0, E643=0, F643=0), "", 1/(D643*E643*F643))</f>
        <v>272388.89338279568</v>
      </c>
      <c r="H643">
        <f>IF(G643="", 0, IF(OR(A643=③資金配分!$D$1, A643=③資金配分!$D$2, B643=③資金配分!$D$1, B643=③資金配分!$D$2, C643=③資金配分!$D$1, C643=③資金配分!$D$2), 0, IF(OR(A643=③資金配分!$D$4, A643=③資金配分!$D$5, A643=③資金配分!$D$6, B643=③資金配分!$D$4, B643=③資金配分!$D$5, B643=③資金配分!$D$6, C643=③資金配分!$D$4, C643=③資金配分!$D$5, C643=③資金配分!$D$6), 0, IF(AND(③資金配分!$B$8&gt;0, G643&lt;=③資金配分!$B$8), 1, 0))))</f>
        <v>0</v>
      </c>
      <c r="I643">
        <f t="shared" ref="I643:I706" si="21">IF(H643=1, 1/G643, 0)</f>
        <v>0</v>
      </c>
      <c r="J643">
        <f>IF(I643&gt;0, ROUND((I643 / SUM($I$2:$I$817)) * ③資金配分!$B$7, -2), 0)</f>
        <v>0</v>
      </c>
    </row>
    <row r="644" spans="1:10" x14ac:dyDescent="0.4">
      <c r="A644">
        <v>7</v>
      </c>
      <c r="B644">
        <v>14</v>
      </c>
      <c r="C644">
        <v>16</v>
      </c>
      <c r="D644">
        <f>IFERROR(IF(_xlfn.XLOOKUP(A644, ①オッズ入力!$A$2:$A$19, ①オッズ入力!$D$2:$D$19, "")="", 0, _xlfn.XLOOKUP(A644, ①オッズ入力!$A$2:$A$19, ①オッズ入力!$D$2:$D$19, 0)), 0)</f>
        <v>2.9775022002530085E-2</v>
      </c>
      <c r="E644">
        <f>IFERROR(IF(_xlfn.XLOOKUP(B644, ①オッズ入力!$A$2:$A$19, ①オッズ入力!$D$2:$D$19, "")="", 0, _xlfn.XLOOKUP(B644, ①オッズ入力!$A$2:$A$19, ①オッズ入力!$D$2:$D$19, 0)), 0)</f>
        <v>1.1525814968721322E-2</v>
      </c>
      <c r="F644">
        <f>IFERROR(IF(_xlfn.XLOOKUP(C644, ①オッズ入力!$A$2:$A$19, ①オッズ入力!$D$2:$D$19, "")="", 0, _xlfn.XLOOKUP(C644, ①オッズ入力!$A$2:$A$19, ①オッズ入力!$D$2:$D$19, 0)), 0)</f>
        <v>9.8701730395127345E-3</v>
      </c>
      <c r="G644">
        <f t="shared" si="20"/>
        <v>295223.89043285046</v>
      </c>
      <c r="H644">
        <f>IF(G644="", 0, IF(OR(A644=③資金配分!$D$1, A644=③資金配分!$D$2, B644=③資金配分!$D$1, B644=③資金配分!$D$2, C644=③資金配分!$D$1, C644=③資金配分!$D$2), 0, IF(OR(A644=③資金配分!$D$4, A644=③資金配分!$D$5, A644=③資金配分!$D$6, B644=③資金配分!$D$4, B644=③資金配分!$D$5, B644=③資金配分!$D$6, C644=③資金配分!$D$4, C644=③資金配分!$D$5, C644=③資金配分!$D$6), 0, IF(AND(③資金配分!$B$8&gt;0, G644&lt;=③資金配分!$B$8), 1, 0))))</f>
        <v>0</v>
      </c>
      <c r="I644">
        <f t="shared" si="21"/>
        <v>0</v>
      </c>
      <c r="J644">
        <f>IF(I644&gt;0, ROUND((I644 / SUM($I$2:$I$817)) * ③資金配分!$B$7, -2), 0)</f>
        <v>0</v>
      </c>
    </row>
    <row r="645" spans="1:10" x14ac:dyDescent="0.4">
      <c r="A645">
        <v>7</v>
      </c>
      <c r="B645">
        <v>14</v>
      </c>
      <c r="C645">
        <v>17</v>
      </c>
      <c r="D645">
        <f>IFERROR(IF(_xlfn.XLOOKUP(A645, ①オッズ入力!$A$2:$A$19, ①オッズ入力!$D$2:$D$19, "")="", 0, _xlfn.XLOOKUP(A645, ①オッズ入力!$A$2:$A$19, ①オッズ入力!$D$2:$D$19, 0)), 0)</f>
        <v>2.9775022002530085E-2</v>
      </c>
      <c r="E645">
        <f>IFERROR(IF(_xlfn.XLOOKUP(B645, ①オッズ入力!$A$2:$A$19, ①オッズ入力!$D$2:$D$19, "")="", 0, _xlfn.XLOOKUP(B645, ①オッズ入力!$A$2:$A$19, ①オッズ入力!$D$2:$D$19, 0)), 0)</f>
        <v>1.1525814968721322E-2</v>
      </c>
      <c r="F645">
        <f>IFERROR(IF(_xlfn.XLOOKUP(C645, ①オッズ入力!$A$2:$A$19, ①オッズ入力!$D$2:$D$19, "")="", 0, _xlfn.XLOOKUP(C645, ①オッズ入力!$A$2:$A$19, ①オッズ入力!$D$2:$D$19, 0)), 0)</f>
        <v>9.1615452315477186E-3</v>
      </c>
      <c r="G645">
        <f t="shared" si="20"/>
        <v>318058.88748290518</v>
      </c>
      <c r="H645">
        <f>IF(G645="", 0, IF(OR(A645=③資金配分!$D$1, A645=③資金配分!$D$2, B645=③資金配分!$D$1, B645=③資金配分!$D$2, C645=③資金配分!$D$1, C645=③資金配分!$D$2), 0, IF(OR(A645=③資金配分!$D$4, A645=③資金配分!$D$5, A645=③資金配分!$D$6, B645=③資金配分!$D$4, B645=③資金配分!$D$5, B645=③資金配分!$D$6, C645=③資金配分!$D$4, C645=③資金配分!$D$5, C645=③資金配分!$D$6), 0, IF(AND(③資金配分!$B$8&gt;0, G645&lt;=③資金配分!$B$8), 1, 0))))</f>
        <v>0</v>
      </c>
      <c r="I645">
        <f t="shared" si="21"/>
        <v>0</v>
      </c>
      <c r="J645">
        <f>IF(I645&gt;0, ROUND((I645 / SUM($I$2:$I$817)) * ③資金配分!$B$7, -2), 0)</f>
        <v>0</v>
      </c>
    </row>
    <row r="646" spans="1:10" x14ac:dyDescent="0.4">
      <c r="A646">
        <v>7</v>
      </c>
      <c r="B646">
        <v>14</v>
      </c>
      <c r="C646">
        <v>18</v>
      </c>
      <c r="D646">
        <f>IFERROR(IF(_xlfn.XLOOKUP(A646, ①オッズ入力!$A$2:$A$19, ①オッズ入力!$D$2:$D$19, "")="", 0, _xlfn.XLOOKUP(A646, ①オッズ入力!$A$2:$A$19, ①オッズ入力!$D$2:$D$19, 0)), 0)</f>
        <v>2.9775022002530085E-2</v>
      </c>
      <c r="E646">
        <f>IFERROR(IF(_xlfn.XLOOKUP(B646, ①オッズ入力!$A$2:$A$19, ①オッズ入力!$D$2:$D$19, "")="", 0, _xlfn.XLOOKUP(B646, ①オッズ入力!$A$2:$A$19, ①オッズ入力!$D$2:$D$19, 0)), 0)</f>
        <v>1.1525814968721322E-2</v>
      </c>
      <c r="F646">
        <f>IFERROR(IF(_xlfn.XLOOKUP(C646, ①オッズ入力!$A$2:$A$19, ①オッズ入力!$D$2:$D$19, "")="", 0, _xlfn.XLOOKUP(C646, ①オッズ入力!$A$2:$A$19, ①オッズ入力!$D$2:$D$19, 0)), 0)</f>
        <v>8.5478532064679671E-3</v>
      </c>
      <c r="G646">
        <f t="shared" si="20"/>
        <v>340893.8845329599</v>
      </c>
      <c r="H646">
        <f>IF(G646="", 0, IF(OR(A646=③資金配分!$D$1, A646=③資金配分!$D$2, B646=③資金配分!$D$1, B646=③資金配分!$D$2, C646=③資金配分!$D$1, C646=③資金配分!$D$2), 0, IF(OR(A646=③資金配分!$D$4, A646=③資金配分!$D$5, A646=③資金配分!$D$6, B646=③資金配分!$D$4, B646=③資金配分!$D$5, B646=③資金配分!$D$6, C646=③資金配分!$D$4, C646=③資金配分!$D$5, C646=③資金配分!$D$6), 0, IF(AND(③資金配分!$B$8&gt;0, G646&lt;=③資金配分!$B$8), 1, 0))))</f>
        <v>0</v>
      </c>
      <c r="I646">
        <f t="shared" si="21"/>
        <v>0</v>
      </c>
      <c r="J646">
        <f>IF(I646&gt;0, ROUND((I646 / SUM($I$2:$I$817)) * ③資金配分!$B$7, -2), 0)</f>
        <v>0</v>
      </c>
    </row>
    <row r="647" spans="1:10" x14ac:dyDescent="0.4">
      <c r="A647">
        <v>7</v>
      </c>
      <c r="B647">
        <v>15</v>
      </c>
      <c r="C647">
        <v>16</v>
      </c>
      <c r="D647">
        <f>IFERROR(IF(_xlfn.XLOOKUP(A647, ①オッズ入力!$A$2:$A$19, ①オッズ入力!$D$2:$D$19, "")="", 0, _xlfn.XLOOKUP(A647, ①オッズ入力!$A$2:$A$19, ①オッズ入力!$D$2:$D$19, 0)), 0)</f>
        <v>2.9775022002530085E-2</v>
      </c>
      <c r="E647">
        <f>IFERROR(IF(_xlfn.XLOOKUP(B647, ①オッズ入力!$A$2:$A$19, ①オッズ入力!$D$2:$D$19, "")="", 0, _xlfn.XLOOKUP(B647, ①オッズ入力!$A$2:$A$19, ①オッズ入力!$D$2:$D$19, 0)), 0)</f>
        <v>1.0697612695519792E-2</v>
      </c>
      <c r="F647">
        <f>IFERROR(IF(_xlfn.XLOOKUP(C647, ①オッズ入力!$A$2:$A$19, ①オッズ入力!$D$2:$D$19, "")="", 0, _xlfn.XLOOKUP(C647, ①オッズ入力!$A$2:$A$19, ①オッズ入力!$D$2:$D$19, 0)), 0)</f>
        <v>9.8701730395127345E-3</v>
      </c>
      <c r="G647">
        <f t="shared" si="20"/>
        <v>318079.93356313562</v>
      </c>
      <c r="H647">
        <f>IF(G647="", 0, IF(OR(A647=③資金配分!$D$1, A647=③資金配分!$D$2, B647=③資金配分!$D$1, B647=③資金配分!$D$2, C647=③資金配分!$D$1, C647=③資金配分!$D$2), 0, IF(OR(A647=③資金配分!$D$4, A647=③資金配分!$D$5, A647=③資金配分!$D$6, B647=③資金配分!$D$4, B647=③資金配分!$D$5, B647=③資金配分!$D$6, C647=③資金配分!$D$4, C647=③資金配分!$D$5, C647=③資金配分!$D$6), 0, IF(AND(③資金配分!$B$8&gt;0, G647&lt;=③資金配分!$B$8), 1, 0))))</f>
        <v>0</v>
      </c>
      <c r="I647">
        <f t="shared" si="21"/>
        <v>0</v>
      </c>
      <c r="J647">
        <f>IF(I647&gt;0, ROUND((I647 / SUM($I$2:$I$817)) * ③資金配分!$B$7, -2), 0)</f>
        <v>0</v>
      </c>
    </row>
    <row r="648" spans="1:10" x14ac:dyDescent="0.4">
      <c r="A648">
        <v>7</v>
      </c>
      <c r="B648">
        <v>15</v>
      </c>
      <c r="C648">
        <v>17</v>
      </c>
      <c r="D648">
        <f>IFERROR(IF(_xlfn.XLOOKUP(A648, ①オッズ入力!$A$2:$A$19, ①オッズ入力!$D$2:$D$19, "")="", 0, _xlfn.XLOOKUP(A648, ①オッズ入力!$A$2:$A$19, ①オッズ入力!$D$2:$D$19, 0)), 0)</f>
        <v>2.9775022002530085E-2</v>
      </c>
      <c r="E648">
        <f>IFERROR(IF(_xlfn.XLOOKUP(B648, ①オッズ入力!$A$2:$A$19, ①オッズ入力!$D$2:$D$19, "")="", 0, _xlfn.XLOOKUP(B648, ①オッズ入力!$A$2:$A$19, ①オッズ入力!$D$2:$D$19, 0)), 0)</f>
        <v>1.0697612695519792E-2</v>
      </c>
      <c r="F648">
        <f>IFERROR(IF(_xlfn.XLOOKUP(C648, ①オッズ入力!$A$2:$A$19, ①オッズ入力!$D$2:$D$19, "")="", 0, _xlfn.XLOOKUP(C648, ①オッズ入力!$A$2:$A$19, ①オッズ入力!$D$2:$D$19, 0)), 0)</f>
        <v>9.1615452315477186E-3</v>
      </c>
      <c r="G648">
        <f t="shared" si="20"/>
        <v>342682.8013525494</v>
      </c>
      <c r="H648">
        <f>IF(G648="", 0, IF(OR(A648=③資金配分!$D$1, A648=③資金配分!$D$2, B648=③資金配分!$D$1, B648=③資金配分!$D$2, C648=③資金配分!$D$1, C648=③資金配分!$D$2), 0, IF(OR(A648=③資金配分!$D$4, A648=③資金配分!$D$5, A648=③資金配分!$D$6, B648=③資金配分!$D$4, B648=③資金配分!$D$5, B648=③資金配分!$D$6, C648=③資金配分!$D$4, C648=③資金配分!$D$5, C648=③資金配分!$D$6), 0, IF(AND(③資金配分!$B$8&gt;0, G648&lt;=③資金配分!$B$8), 1, 0))))</f>
        <v>0</v>
      </c>
      <c r="I648">
        <f t="shared" si="21"/>
        <v>0</v>
      </c>
      <c r="J648">
        <f>IF(I648&gt;0, ROUND((I648 / SUM($I$2:$I$817)) * ③資金配分!$B$7, -2), 0)</f>
        <v>0</v>
      </c>
    </row>
    <row r="649" spans="1:10" x14ac:dyDescent="0.4">
      <c r="A649">
        <v>7</v>
      </c>
      <c r="B649">
        <v>15</v>
      </c>
      <c r="C649">
        <v>18</v>
      </c>
      <c r="D649">
        <f>IFERROR(IF(_xlfn.XLOOKUP(A649, ①オッズ入力!$A$2:$A$19, ①オッズ入力!$D$2:$D$19, "")="", 0, _xlfn.XLOOKUP(A649, ①オッズ入力!$A$2:$A$19, ①オッズ入力!$D$2:$D$19, 0)), 0)</f>
        <v>2.9775022002530085E-2</v>
      </c>
      <c r="E649">
        <f>IFERROR(IF(_xlfn.XLOOKUP(B649, ①オッズ入力!$A$2:$A$19, ①オッズ入力!$D$2:$D$19, "")="", 0, _xlfn.XLOOKUP(B649, ①オッズ入力!$A$2:$A$19, ①オッズ入力!$D$2:$D$19, 0)), 0)</f>
        <v>1.0697612695519792E-2</v>
      </c>
      <c r="F649">
        <f>IFERROR(IF(_xlfn.XLOOKUP(C649, ①オッズ入力!$A$2:$A$19, ①オッズ入力!$D$2:$D$19, "")="", 0, _xlfn.XLOOKUP(C649, ①オッズ入力!$A$2:$A$19, ①オッズ入力!$D$2:$D$19, 0)), 0)</f>
        <v>8.5478532064679671E-3</v>
      </c>
      <c r="G649">
        <f t="shared" si="20"/>
        <v>367285.66914196318</v>
      </c>
      <c r="H649">
        <f>IF(G649="", 0, IF(OR(A649=③資金配分!$D$1, A649=③資金配分!$D$2, B649=③資金配分!$D$1, B649=③資金配分!$D$2, C649=③資金配分!$D$1, C649=③資金配分!$D$2), 0, IF(OR(A649=③資金配分!$D$4, A649=③資金配分!$D$5, A649=③資金配分!$D$6, B649=③資金配分!$D$4, B649=③資金配分!$D$5, B649=③資金配分!$D$6, C649=③資金配分!$D$4, C649=③資金配分!$D$5, C649=③資金配分!$D$6), 0, IF(AND(③資金配分!$B$8&gt;0, G649&lt;=③資金配分!$B$8), 1, 0))))</f>
        <v>0</v>
      </c>
      <c r="I649">
        <f t="shared" si="21"/>
        <v>0</v>
      </c>
      <c r="J649">
        <f>IF(I649&gt;0, ROUND((I649 / SUM($I$2:$I$817)) * ③資金配分!$B$7, -2), 0)</f>
        <v>0</v>
      </c>
    </row>
    <row r="650" spans="1:10" x14ac:dyDescent="0.4">
      <c r="A650">
        <v>7</v>
      </c>
      <c r="B650">
        <v>16</v>
      </c>
      <c r="C650">
        <v>17</v>
      </c>
      <c r="D650">
        <f>IFERROR(IF(_xlfn.XLOOKUP(A650, ①オッズ入力!$A$2:$A$19, ①オッズ入力!$D$2:$D$19, "")="", 0, _xlfn.XLOOKUP(A650, ①オッズ入力!$A$2:$A$19, ①オッズ入力!$D$2:$D$19, 0)), 0)</f>
        <v>2.9775022002530085E-2</v>
      </c>
      <c r="E650">
        <f>IFERROR(IF(_xlfn.XLOOKUP(B650, ①オッズ入力!$A$2:$A$19, ①オッズ入力!$D$2:$D$19, "")="", 0, _xlfn.XLOOKUP(B650, ①オッズ入力!$A$2:$A$19, ①オッズ入力!$D$2:$D$19, 0)), 0)</f>
        <v>9.8701730395127345E-3</v>
      </c>
      <c r="F650">
        <f>IFERROR(IF(_xlfn.XLOOKUP(C650, ①オッズ入力!$A$2:$A$19, ①オッズ入力!$D$2:$D$19, "")="", 0, _xlfn.XLOOKUP(C650, ①オッズ入力!$A$2:$A$19, ①オッズ入力!$D$2:$D$19, 0)), 0)</f>
        <v>9.1615452315477186E-3</v>
      </c>
      <c r="G650">
        <f t="shared" si="20"/>
        <v>371410.70086713438</v>
      </c>
      <c r="H650">
        <f>IF(G650="", 0, IF(OR(A650=③資金配分!$D$1, A650=③資金配分!$D$2, B650=③資金配分!$D$1, B650=③資金配分!$D$2, C650=③資金配分!$D$1, C650=③資金配分!$D$2), 0, IF(OR(A650=③資金配分!$D$4, A650=③資金配分!$D$5, A650=③資金配分!$D$6, B650=③資金配分!$D$4, B650=③資金配分!$D$5, B650=③資金配分!$D$6, C650=③資金配分!$D$4, C650=③資金配分!$D$5, C650=③資金配分!$D$6), 0, IF(AND(③資金配分!$B$8&gt;0, G650&lt;=③資金配分!$B$8), 1, 0))))</f>
        <v>0</v>
      </c>
      <c r="I650">
        <f t="shared" si="21"/>
        <v>0</v>
      </c>
      <c r="J650">
        <f>IF(I650&gt;0, ROUND((I650 / SUM($I$2:$I$817)) * ③資金配分!$B$7, -2), 0)</f>
        <v>0</v>
      </c>
    </row>
    <row r="651" spans="1:10" x14ac:dyDescent="0.4">
      <c r="A651">
        <v>7</v>
      </c>
      <c r="B651">
        <v>16</v>
      </c>
      <c r="C651">
        <v>18</v>
      </c>
      <c r="D651">
        <f>IFERROR(IF(_xlfn.XLOOKUP(A651, ①オッズ入力!$A$2:$A$19, ①オッズ入力!$D$2:$D$19, "")="", 0, _xlfn.XLOOKUP(A651, ①オッズ入力!$A$2:$A$19, ①オッズ入力!$D$2:$D$19, 0)), 0)</f>
        <v>2.9775022002530085E-2</v>
      </c>
      <c r="E651">
        <f>IFERROR(IF(_xlfn.XLOOKUP(B651, ①オッズ入力!$A$2:$A$19, ①オッズ入力!$D$2:$D$19, "")="", 0, _xlfn.XLOOKUP(B651, ①オッズ入力!$A$2:$A$19, ①オッズ入力!$D$2:$D$19, 0)), 0)</f>
        <v>9.8701730395127345E-3</v>
      </c>
      <c r="F651">
        <f>IFERROR(IF(_xlfn.XLOOKUP(C651, ①オッズ入力!$A$2:$A$19, ①オッズ入力!$D$2:$D$19, "")="", 0, _xlfn.XLOOKUP(C651, ①オッズ入力!$A$2:$A$19, ①オッズ入力!$D$2:$D$19, 0)), 0)</f>
        <v>8.5478532064679671E-3</v>
      </c>
      <c r="G651">
        <f t="shared" si="20"/>
        <v>398076.08451913384</v>
      </c>
      <c r="H651">
        <f>IF(G651="", 0, IF(OR(A651=③資金配分!$D$1, A651=③資金配分!$D$2, B651=③資金配分!$D$1, B651=③資金配分!$D$2, C651=③資金配分!$D$1, C651=③資金配分!$D$2), 0, IF(OR(A651=③資金配分!$D$4, A651=③資金配分!$D$5, A651=③資金配分!$D$6, B651=③資金配分!$D$4, B651=③資金配分!$D$5, B651=③資金配分!$D$6, C651=③資金配分!$D$4, C651=③資金配分!$D$5, C651=③資金配分!$D$6), 0, IF(AND(③資金配分!$B$8&gt;0, G651&lt;=③資金配分!$B$8), 1, 0))))</f>
        <v>0</v>
      </c>
      <c r="I651">
        <f t="shared" si="21"/>
        <v>0</v>
      </c>
      <c r="J651">
        <f>IF(I651&gt;0, ROUND((I651 / SUM($I$2:$I$817)) * ③資金配分!$B$7, -2), 0)</f>
        <v>0</v>
      </c>
    </row>
    <row r="652" spans="1:10" x14ac:dyDescent="0.4">
      <c r="A652">
        <v>7</v>
      </c>
      <c r="B652">
        <v>17</v>
      </c>
      <c r="C652">
        <v>18</v>
      </c>
      <c r="D652">
        <f>IFERROR(IF(_xlfn.XLOOKUP(A652, ①オッズ入力!$A$2:$A$19, ①オッズ入力!$D$2:$D$19, "")="", 0, _xlfn.XLOOKUP(A652, ①オッズ入力!$A$2:$A$19, ①オッズ入力!$D$2:$D$19, 0)), 0)</f>
        <v>2.9775022002530085E-2</v>
      </c>
      <c r="E652">
        <f>IFERROR(IF(_xlfn.XLOOKUP(B652, ①オッズ入力!$A$2:$A$19, ①オッズ入力!$D$2:$D$19, "")="", 0, _xlfn.XLOOKUP(B652, ①オッズ入力!$A$2:$A$19, ①オッズ入力!$D$2:$D$19, 0)), 0)</f>
        <v>9.1615452315477186E-3</v>
      </c>
      <c r="F652">
        <f>IFERROR(IF(_xlfn.XLOOKUP(C652, ①オッズ入力!$A$2:$A$19, ①オッズ入力!$D$2:$D$19, "")="", 0, _xlfn.XLOOKUP(C652, ①オッズ入力!$A$2:$A$19, ①オッズ入力!$D$2:$D$19, 0)), 0)</f>
        <v>8.5478532064679671E-3</v>
      </c>
      <c r="G652">
        <f t="shared" si="20"/>
        <v>428866.49989630439</v>
      </c>
      <c r="H652">
        <f>IF(G652="", 0, IF(OR(A652=③資金配分!$D$1, A652=③資金配分!$D$2, B652=③資金配分!$D$1, B652=③資金配分!$D$2, C652=③資金配分!$D$1, C652=③資金配分!$D$2), 0, IF(OR(A652=③資金配分!$D$4, A652=③資金配分!$D$5, A652=③資金配分!$D$6, B652=③資金配分!$D$4, B652=③資金配分!$D$5, B652=③資金配分!$D$6, C652=③資金配分!$D$4, C652=③資金配分!$D$5, C652=③資金配分!$D$6), 0, IF(AND(③資金配分!$B$8&gt;0, G652&lt;=③資金配分!$B$8), 1, 0))))</f>
        <v>0</v>
      </c>
      <c r="I652">
        <f t="shared" si="21"/>
        <v>0</v>
      </c>
      <c r="J652">
        <f>IF(I652&gt;0, ROUND((I652 / SUM($I$2:$I$817)) * ③資金配分!$B$7, -2), 0)</f>
        <v>0</v>
      </c>
    </row>
    <row r="653" spans="1:10" x14ac:dyDescent="0.4">
      <c r="A653">
        <v>8</v>
      </c>
      <c r="B653">
        <v>9</v>
      </c>
      <c r="C653">
        <v>10</v>
      </c>
      <c r="D653">
        <f>IFERROR(IF(_xlfn.XLOOKUP(A653, ①オッズ入力!$A$2:$A$19, ①オッズ入力!$D$2:$D$19, "")="", 0, _xlfn.XLOOKUP(A653, ①オッズ入力!$A$2:$A$19, ①オッズ入力!$D$2:$D$19, 0)), 0)</f>
        <v>2.3820017602024068E-2</v>
      </c>
      <c r="E653">
        <f>IFERROR(IF(_xlfn.XLOOKUP(B653, ①オッズ入力!$A$2:$A$19, ①オッズ入力!$D$2:$D$19, "")="", 0, _xlfn.XLOOKUP(B653, ①オッズ入力!$A$2:$A$19, ①オッズ入力!$D$2:$D$19, 0)), 0)</f>
        <v>1.9850014668353389E-2</v>
      </c>
      <c r="F653">
        <f>IFERROR(IF(_xlfn.XLOOKUP(C653, ①オッズ入力!$A$2:$A$19, ①オッズ入力!$D$2:$D$19, "")="", 0, _xlfn.XLOOKUP(C653, ①オッズ入力!$A$2:$A$19, ①オッズ入力!$D$2:$D$19, 0)), 0)</f>
        <v>1.7865013201518051E-2</v>
      </c>
      <c r="G653">
        <f t="shared" si="20"/>
        <v>118384.20129636668</v>
      </c>
      <c r="H653">
        <f>IF(G653="", 0, IF(OR(A653=③資金配分!$D$1, A653=③資金配分!$D$2, B653=③資金配分!$D$1, B653=③資金配分!$D$2, C653=③資金配分!$D$1, C653=③資金配分!$D$2), 0, IF(OR(A653=③資金配分!$D$4, A653=③資金配分!$D$5, A653=③資金配分!$D$6, B653=③資金配分!$D$4, B653=③資金配分!$D$5, B653=③資金配分!$D$6, C653=③資金配分!$D$4, C653=③資金配分!$D$5, C653=③資金配分!$D$6), 0, IF(AND(③資金配分!$B$8&gt;0, G653&lt;=③資金配分!$B$8), 1, 0))))</f>
        <v>0</v>
      </c>
      <c r="I653">
        <f t="shared" si="21"/>
        <v>0</v>
      </c>
      <c r="J653">
        <f>IF(I653&gt;0, ROUND((I653 / SUM($I$2:$I$817)) * ③資金配分!$B$7, -2), 0)</f>
        <v>0</v>
      </c>
    </row>
    <row r="654" spans="1:10" x14ac:dyDescent="0.4">
      <c r="A654">
        <v>8</v>
      </c>
      <c r="B654">
        <v>9</v>
      </c>
      <c r="C654">
        <v>11</v>
      </c>
      <c r="D654">
        <f>IFERROR(IF(_xlfn.XLOOKUP(A654, ①オッズ入力!$A$2:$A$19, ①オッズ入力!$D$2:$D$19, "")="", 0, _xlfn.XLOOKUP(A654, ①オッズ入力!$A$2:$A$19, ①オッズ入力!$D$2:$D$19, 0)), 0)</f>
        <v>2.3820017602024068E-2</v>
      </c>
      <c r="E654">
        <f>IFERROR(IF(_xlfn.XLOOKUP(B654, ①オッズ入力!$A$2:$A$19, ①オッズ入力!$D$2:$D$19, "")="", 0, _xlfn.XLOOKUP(B654, ①オッズ入力!$A$2:$A$19, ①オッズ入力!$D$2:$D$19, 0)), 0)</f>
        <v>1.9850014668353389E-2</v>
      </c>
      <c r="F654">
        <f>IFERROR(IF(_xlfn.XLOOKUP(C654, ①オッズ入力!$A$2:$A$19, ①オッズ入力!$D$2:$D$19, "")="", 0, _xlfn.XLOOKUP(C654, ①オッズ入力!$A$2:$A$19, ①オッズ入力!$D$2:$D$19, 0)), 0)</f>
        <v>1.6240921092289137E-2</v>
      </c>
      <c r="G654">
        <f t="shared" si="20"/>
        <v>130222.62142600336</v>
      </c>
      <c r="H654">
        <f>IF(G654="", 0, IF(OR(A654=③資金配分!$D$1, A654=③資金配分!$D$2, B654=③資金配分!$D$1, B654=③資金配分!$D$2, C654=③資金配分!$D$1, C654=③資金配分!$D$2), 0, IF(OR(A654=③資金配分!$D$4, A654=③資金配分!$D$5, A654=③資金配分!$D$6, B654=③資金配分!$D$4, B654=③資金配分!$D$5, B654=③資金配分!$D$6, C654=③資金配分!$D$4, C654=③資金配分!$D$5, C654=③資金配分!$D$6), 0, IF(AND(③資金配分!$B$8&gt;0, G654&lt;=③資金配分!$B$8), 1, 0))))</f>
        <v>0</v>
      </c>
      <c r="I654">
        <f t="shared" si="21"/>
        <v>0</v>
      </c>
      <c r="J654">
        <f>IF(I654&gt;0, ROUND((I654 / SUM($I$2:$I$817)) * ③資金配分!$B$7, -2), 0)</f>
        <v>0</v>
      </c>
    </row>
    <row r="655" spans="1:10" x14ac:dyDescent="0.4">
      <c r="A655">
        <v>8</v>
      </c>
      <c r="B655">
        <v>9</v>
      </c>
      <c r="C655">
        <v>12</v>
      </c>
      <c r="D655">
        <f>IFERROR(IF(_xlfn.XLOOKUP(A655, ①オッズ入力!$A$2:$A$19, ①オッズ入力!$D$2:$D$19, "")="", 0, _xlfn.XLOOKUP(A655, ①オッズ入力!$A$2:$A$19, ①オッズ入力!$D$2:$D$19, 0)), 0)</f>
        <v>2.3820017602024068E-2</v>
      </c>
      <c r="E655">
        <f>IFERROR(IF(_xlfn.XLOOKUP(B655, ①オッズ入力!$A$2:$A$19, ①オッズ入力!$D$2:$D$19, "")="", 0, _xlfn.XLOOKUP(B655, ①オッズ入力!$A$2:$A$19, ①オッズ入力!$D$2:$D$19, 0)), 0)</f>
        <v>1.9850014668353389E-2</v>
      </c>
      <c r="F655">
        <f>IFERROR(IF(_xlfn.XLOOKUP(C655, ①オッズ入力!$A$2:$A$19, ①オッズ入力!$D$2:$D$19, "")="", 0, _xlfn.XLOOKUP(C655, ①オッズ入力!$A$2:$A$19, ①オッズ入力!$D$2:$D$19, 0)), 0)</f>
        <v>1.4887511001265043E-2</v>
      </c>
      <c r="G655">
        <f t="shared" si="20"/>
        <v>142061.04155564003</v>
      </c>
      <c r="H655">
        <f>IF(G655="", 0, IF(OR(A655=③資金配分!$D$1, A655=③資金配分!$D$2, B655=③資金配分!$D$1, B655=③資金配分!$D$2, C655=③資金配分!$D$1, C655=③資金配分!$D$2), 0, IF(OR(A655=③資金配分!$D$4, A655=③資金配分!$D$5, A655=③資金配分!$D$6, B655=③資金配分!$D$4, B655=③資金配分!$D$5, B655=③資金配分!$D$6, C655=③資金配分!$D$4, C655=③資金配分!$D$5, C655=③資金配分!$D$6), 0, IF(AND(③資金配分!$B$8&gt;0, G655&lt;=③資金配分!$B$8), 1, 0))))</f>
        <v>0</v>
      </c>
      <c r="I655">
        <f t="shared" si="21"/>
        <v>0</v>
      </c>
      <c r="J655">
        <f>IF(I655&gt;0, ROUND((I655 / SUM($I$2:$I$817)) * ③資金配分!$B$7, -2), 0)</f>
        <v>0</v>
      </c>
    </row>
    <row r="656" spans="1:10" x14ac:dyDescent="0.4">
      <c r="A656">
        <v>8</v>
      </c>
      <c r="B656">
        <v>9</v>
      </c>
      <c r="C656">
        <v>13</v>
      </c>
      <c r="D656">
        <f>IFERROR(IF(_xlfn.XLOOKUP(A656, ①オッズ入力!$A$2:$A$19, ①オッズ入力!$D$2:$D$19, "")="", 0, _xlfn.XLOOKUP(A656, ①オッズ入力!$A$2:$A$19, ①オッズ入力!$D$2:$D$19, 0)), 0)</f>
        <v>2.3820017602024068E-2</v>
      </c>
      <c r="E656">
        <f>IFERROR(IF(_xlfn.XLOOKUP(B656, ①オッズ入力!$A$2:$A$19, ①オッズ入力!$D$2:$D$19, "")="", 0, _xlfn.XLOOKUP(B656, ①オッズ入力!$A$2:$A$19, ①オッズ入力!$D$2:$D$19, 0)), 0)</f>
        <v>1.9850014668353389E-2</v>
      </c>
      <c r="F656">
        <f>IFERROR(IF(_xlfn.XLOOKUP(C656, ①オッズ入力!$A$2:$A$19, ①オッズ入力!$D$2:$D$19, "")="", 0, _xlfn.XLOOKUP(C656, ①オッズ入力!$A$2:$A$19, ①オッズ入力!$D$2:$D$19, 0)), 0)</f>
        <v>1.2760723715370036E-2</v>
      </c>
      <c r="G656">
        <f t="shared" si="20"/>
        <v>165737.88181491336</v>
      </c>
      <c r="H656">
        <f>IF(G656="", 0, IF(OR(A656=③資金配分!$D$1, A656=③資金配分!$D$2, B656=③資金配分!$D$1, B656=③資金配分!$D$2, C656=③資金配分!$D$1, C656=③資金配分!$D$2), 0, IF(OR(A656=③資金配分!$D$4, A656=③資金配分!$D$5, A656=③資金配分!$D$6, B656=③資金配分!$D$4, B656=③資金配分!$D$5, B656=③資金配分!$D$6, C656=③資金配分!$D$4, C656=③資金配分!$D$5, C656=③資金配分!$D$6), 0, IF(AND(③資金配分!$B$8&gt;0, G656&lt;=③資金配分!$B$8), 1, 0))))</f>
        <v>0</v>
      </c>
      <c r="I656">
        <f t="shared" si="21"/>
        <v>0</v>
      </c>
      <c r="J656">
        <f>IF(I656&gt;0, ROUND((I656 / SUM($I$2:$I$817)) * ③資金配分!$B$7, -2), 0)</f>
        <v>0</v>
      </c>
    </row>
    <row r="657" spans="1:10" x14ac:dyDescent="0.4">
      <c r="A657">
        <v>8</v>
      </c>
      <c r="B657">
        <v>9</v>
      </c>
      <c r="C657">
        <v>14</v>
      </c>
      <c r="D657">
        <f>IFERROR(IF(_xlfn.XLOOKUP(A657, ①オッズ入力!$A$2:$A$19, ①オッズ入力!$D$2:$D$19, "")="", 0, _xlfn.XLOOKUP(A657, ①オッズ入力!$A$2:$A$19, ①オッズ入力!$D$2:$D$19, 0)), 0)</f>
        <v>2.3820017602024068E-2</v>
      </c>
      <c r="E657">
        <f>IFERROR(IF(_xlfn.XLOOKUP(B657, ①オッズ入力!$A$2:$A$19, ①オッズ入力!$D$2:$D$19, "")="", 0, _xlfn.XLOOKUP(B657, ①オッズ入力!$A$2:$A$19, ①オッズ入力!$D$2:$D$19, 0)), 0)</f>
        <v>1.9850014668353389E-2</v>
      </c>
      <c r="F657">
        <f>IFERROR(IF(_xlfn.XLOOKUP(C657, ①オッズ入力!$A$2:$A$19, ①オッズ入力!$D$2:$D$19, "")="", 0, _xlfn.XLOOKUP(C657, ①オッズ入力!$A$2:$A$19, ①オッズ入力!$D$2:$D$19, 0)), 0)</f>
        <v>1.1525814968721322E-2</v>
      </c>
      <c r="G657">
        <f t="shared" si="20"/>
        <v>183495.51200936839</v>
      </c>
      <c r="H657">
        <f>IF(G657="", 0, IF(OR(A657=③資金配分!$D$1, A657=③資金配分!$D$2, B657=③資金配分!$D$1, B657=③資金配分!$D$2, C657=③資金配分!$D$1, C657=③資金配分!$D$2), 0, IF(OR(A657=③資金配分!$D$4, A657=③資金配分!$D$5, A657=③資金配分!$D$6, B657=③資金配分!$D$4, B657=③資金配分!$D$5, B657=③資金配分!$D$6, C657=③資金配分!$D$4, C657=③資金配分!$D$5, C657=③資金配分!$D$6), 0, IF(AND(③資金配分!$B$8&gt;0, G657&lt;=③資金配分!$B$8), 1, 0))))</f>
        <v>0</v>
      </c>
      <c r="I657">
        <f t="shared" si="21"/>
        <v>0</v>
      </c>
      <c r="J657">
        <f>IF(I657&gt;0, ROUND((I657 / SUM($I$2:$I$817)) * ③資金配分!$B$7, -2), 0)</f>
        <v>0</v>
      </c>
    </row>
    <row r="658" spans="1:10" x14ac:dyDescent="0.4">
      <c r="A658">
        <v>8</v>
      </c>
      <c r="B658">
        <v>9</v>
      </c>
      <c r="C658">
        <v>15</v>
      </c>
      <c r="D658">
        <f>IFERROR(IF(_xlfn.XLOOKUP(A658, ①オッズ入力!$A$2:$A$19, ①オッズ入力!$D$2:$D$19, "")="", 0, _xlfn.XLOOKUP(A658, ①オッズ入力!$A$2:$A$19, ①オッズ入力!$D$2:$D$19, 0)), 0)</f>
        <v>2.3820017602024068E-2</v>
      </c>
      <c r="E658">
        <f>IFERROR(IF(_xlfn.XLOOKUP(B658, ①オッズ入力!$A$2:$A$19, ①オッズ入力!$D$2:$D$19, "")="", 0, _xlfn.XLOOKUP(B658, ①オッズ入力!$A$2:$A$19, ①オッズ入力!$D$2:$D$19, 0)), 0)</f>
        <v>1.9850014668353389E-2</v>
      </c>
      <c r="F658">
        <f>IFERROR(IF(_xlfn.XLOOKUP(C658, ①オッズ入力!$A$2:$A$19, ①オッズ入力!$D$2:$D$19, "")="", 0, _xlfn.XLOOKUP(C658, ①オッズ入力!$A$2:$A$19, ①オッズ入力!$D$2:$D$19, 0)), 0)</f>
        <v>1.0697612695519792E-2</v>
      </c>
      <c r="G658">
        <f t="shared" si="20"/>
        <v>197701.61616493235</v>
      </c>
      <c r="H658">
        <f>IF(G658="", 0, IF(OR(A658=③資金配分!$D$1, A658=③資金配分!$D$2, B658=③資金配分!$D$1, B658=③資金配分!$D$2, C658=③資金配分!$D$1, C658=③資金配分!$D$2), 0, IF(OR(A658=③資金配分!$D$4, A658=③資金配分!$D$5, A658=③資金配分!$D$6, B658=③資金配分!$D$4, B658=③資金配分!$D$5, B658=③資金配分!$D$6, C658=③資金配分!$D$4, C658=③資金配分!$D$5, C658=③資金配分!$D$6), 0, IF(AND(③資金配分!$B$8&gt;0, G658&lt;=③資金配分!$B$8), 1, 0))))</f>
        <v>0</v>
      </c>
      <c r="I658">
        <f t="shared" si="21"/>
        <v>0</v>
      </c>
      <c r="J658">
        <f>IF(I658&gt;0, ROUND((I658 / SUM($I$2:$I$817)) * ③資金配分!$B$7, -2), 0)</f>
        <v>0</v>
      </c>
    </row>
    <row r="659" spans="1:10" x14ac:dyDescent="0.4">
      <c r="A659">
        <v>8</v>
      </c>
      <c r="B659">
        <v>9</v>
      </c>
      <c r="C659">
        <v>16</v>
      </c>
      <c r="D659">
        <f>IFERROR(IF(_xlfn.XLOOKUP(A659, ①オッズ入力!$A$2:$A$19, ①オッズ入力!$D$2:$D$19, "")="", 0, _xlfn.XLOOKUP(A659, ①オッズ入力!$A$2:$A$19, ①オッズ入力!$D$2:$D$19, 0)), 0)</f>
        <v>2.3820017602024068E-2</v>
      </c>
      <c r="E659">
        <f>IFERROR(IF(_xlfn.XLOOKUP(B659, ①オッズ入力!$A$2:$A$19, ①オッズ入力!$D$2:$D$19, "")="", 0, _xlfn.XLOOKUP(B659, ①オッズ入力!$A$2:$A$19, ①オッズ入力!$D$2:$D$19, 0)), 0)</f>
        <v>1.9850014668353389E-2</v>
      </c>
      <c r="F659">
        <f>IFERROR(IF(_xlfn.XLOOKUP(C659, ①オッズ入力!$A$2:$A$19, ①オッズ入力!$D$2:$D$19, "")="", 0, _xlfn.XLOOKUP(C659, ①オッズ入力!$A$2:$A$19, ①オッズ入力!$D$2:$D$19, 0)), 0)</f>
        <v>9.8701730395127345E-3</v>
      </c>
      <c r="G659">
        <f t="shared" si="20"/>
        <v>214275.40434642372</v>
      </c>
      <c r="H659">
        <f>IF(G659="", 0, IF(OR(A659=③資金配分!$D$1, A659=③資金配分!$D$2, B659=③資金配分!$D$1, B659=③資金配分!$D$2, C659=③資金配分!$D$1, C659=③資金配分!$D$2), 0, IF(OR(A659=③資金配分!$D$4, A659=③資金配分!$D$5, A659=③資金配分!$D$6, B659=③資金配分!$D$4, B659=③資金配分!$D$5, B659=③資金配分!$D$6, C659=③資金配分!$D$4, C659=③資金配分!$D$5, C659=③資金配分!$D$6), 0, IF(AND(③資金配分!$B$8&gt;0, G659&lt;=③資金配分!$B$8), 1, 0))))</f>
        <v>0</v>
      </c>
      <c r="I659">
        <f t="shared" si="21"/>
        <v>0</v>
      </c>
      <c r="J659">
        <f>IF(I659&gt;0, ROUND((I659 / SUM($I$2:$I$817)) * ③資金配分!$B$7, -2), 0)</f>
        <v>0</v>
      </c>
    </row>
    <row r="660" spans="1:10" x14ac:dyDescent="0.4">
      <c r="A660">
        <v>8</v>
      </c>
      <c r="B660">
        <v>9</v>
      </c>
      <c r="C660">
        <v>17</v>
      </c>
      <c r="D660">
        <f>IFERROR(IF(_xlfn.XLOOKUP(A660, ①オッズ入力!$A$2:$A$19, ①オッズ入力!$D$2:$D$19, "")="", 0, _xlfn.XLOOKUP(A660, ①オッズ入力!$A$2:$A$19, ①オッズ入力!$D$2:$D$19, 0)), 0)</f>
        <v>2.3820017602024068E-2</v>
      </c>
      <c r="E660">
        <f>IFERROR(IF(_xlfn.XLOOKUP(B660, ①オッズ入力!$A$2:$A$19, ①オッズ入力!$D$2:$D$19, "")="", 0, _xlfn.XLOOKUP(B660, ①オッズ入力!$A$2:$A$19, ①オッズ入力!$D$2:$D$19, 0)), 0)</f>
        <v>1.9850014668353389E-2</v>
      </c>
      <c r="F660">
        <f>IFERROR(IF(_xlfn.XLOOKUP(C660, ①オッズ入力!$A$2:$A$19, ①オッズ入力!$D$2:$D$19, "")="", 0, _xlfn.XLOOKUP(C660, ①オッズ入力!$A$2:$A$19, ①オッズ入力!$D$2:$D$19, 0)), 0)</f>
        <v>9.1615452315477186E-3</v>
      </c>
      <c r="G660">
        <f t="shared" si="20"/>
        <v>230849.19252791503</v>
      </c>
      <c r="H660">
        <f>IF(G660="", 0, IF(OR(A660=③資金配分!$D$1, A660=③資金配分!$D$2, B660=③資金配分!$D$1, B660=③資金配分!$D$2, C660=③資金配分!$D$1, C660=③資金配分!$D$2), 0, IF(OR(A660=③資金配分!$D$4, A660=③資金配分!$D$5, A660=③資金配分!$D$6, B660=③資金配分!$D$4, B660=③資金配分!$D$5, B660=③資金配分!$D$6, C660=③資金配分!$D$4, C660=③資金配分!$D$5, C660=③資金配分!$D$6), 0, IF(AND(③資金配分!$B$8&gt;0, G660&lt;=③資金配分!$B$8), 1, 0))))</f>
        <v>0</v>
      </c>
      <c r="I660">
        <f t="shared" si="21"/>
        <v>0</v>
      </c>
      <c r="J660">
        <f>IF(I660&gt;0, ROUND((I660 / SUM($I$2:$I$817)) * ③資金配分!$B$7, -2), 0)</f>
        <v>0</v>
      </c>
    </row>
    <row r="661" spans="1:10" x14ac:dyDescent="0.4">
      <c r="A661">
        <v>8</v>
      </c>
      <c r="B661">
        <v>9</v>
      </c>
      <c r="C661">
        <v>18</v>
      </c>
      <c r="D661">
        <f>IFERROR(IF(_xlfn.XLOOKUP(A661, ①オッズ入力!$A$2:$A$19, ①オッズ入力!$D$2:$D$19, "")="", 0, _xlfn.XLOOKUP(A661, ①オッズ入力!$A$2:$A$19, ①オッズ入力!$D$2:$D$19, 0)), 0)</f>
        <v>2.3820017602024068E-2</v>
      </c>
      <c r="E661">
        <f>IFERROR(IF(_xlfn.XLOOKUP(B661, ①オッズ入力!$A$2:$A$19, ①オッズ入力!$D$2:$D$19, "")="", 0, _xlfn.XLOOKUP(B661, ①オッズ入力!$A$2:$A$19, ①オッズ入力!$D$2:$D$19, 0)), 0)</f>
        <v>1.9850014668353389E-2</v>
      </c>
      <c r="F661">
        <f>IFERROR(IF(_xlfn.XLOOKUP(C661, ①オッズ入力!$A$2:$A$19, ①オッズ入力!$D$2:$D$19, "")="", 0, _xlfn.XLOOKUP(C661, ①オッズ入力!$A$2:$A$19, ①オッズ入力!$D$2:$D$19, 0)), 0)</f>
        <v>8.5478532064679671E-3</v>
      </c>
      <c r="G661">
        <f t="shared" si="20"/>
        <v>247422.98070940637</v>
      </c>
      <c r="H661">
        <f>IF(G661="", 0, IF(OR(A661=③資金配分!$D$1, A661=③資金配分!$D$2, B661=③資金配分!$D$1, B661=③資金配分!$D$2, C661=③資金配分!$D$1, C661=③資金配分!$D$2), 0, IF(OR(A661=③資金配分!$D$4, A661=③資金配分!$D$5, A661=③資金配分!$D$6, B661=③資金配分!$D$4, B661=③資金配分!$D$5, B661=③資金配分!$D$6, C661=③資金配分!$D$4, C661=③資金配分!$D$5, C661=③資金配分!$D$6), 0, IF(AND(③資金配分!$B$8&gt;0, G661&lt;=③資金配分!$B$8), 1, 0))))</f>
        <v>0</v>
      </c>
      <c r="I661">
        <f t="shared" si="21"/>
        <v>0</v>
      </c>
      <c r="J661">
        <f>IF(I661&gt;0, ROUND((I661 / SUM($I$2:$I$817)) * ③資金配分!$B$7, -2), 0)</f>
        <v>0</v>
      </c>
    </row>
    <row r="662" spans="1:10" x14ac:dyDescent="0.4">
      <c r="A662">
        <v>8</v>
      </c>
      <c r="B662">
        <v>10</v>
      </c>
      <c r="C662">
        <v>11</v>
      </c>
      <c r="D662">
        <f>IFERROR(IF(_xlfn.XLOOKUP(A662, ①オッズ入力!$A$2:$A$19, ①オッズ入力!$D$2:$D$19, "")="", 0, _xlfn.XLOOKUP(A662, ①オッズ入力!$A$2:$A$19, ①オッズ入力!$D$2:$D$19, 0)), 0)</f>
        <v>2.3820017602024068E-2</v>
      </c>
      <c r="E662">
        <f>IFERROR(IF(_xlfn.XLOOKUP(B662, ①オッズ入力!$A$2:$A$19, ①オッズ入力!$D$2:$D$19, "")="", 0, _xlfn.XLOOKUP(B662, ①オッズ入力!$A$2:$A$19, ①オッズ入力!$D$2:$D$19, 0)), 0)</f>
        <v>1.7865013201518051E-2</v>
      </c>
      <c r="F662">
        <f>IFERROR(IF(_xlfn.XLOOKUP(C662, ①オッズ入力!$A$2:$A$19, ①オッズ入力!$D$2:$D$19, "")="", 0, _xlfn.XLOOKUP(C662, ①オッズ入力!$A$2:$A$19, ①オッズ入力!$D$2:$D$19, 0)), 0)</f>
        <v>1.6240921092289137E-2</v>
      </c>
      <c r="G662">
        <f t="shared" si="20"/>
        <v>144691.80158444817</v>
      </c>
      <c r="H662">
        <f>IF(G662="", 0, IF(OR(A662=③資金配分!$D$1, A662=③資金配分!$D$2, B662=③資金配分!$D$1, B662=③資金配分!$D$2, C662=③資金配分!$D$1, C662=③資金配分!$D$2), 0, IF(OR(A662=③資金配分!$D$4, A662=③資金配分!$D$5, A662=③資金配分!$D$6, B662=③資金配分!$D$4, B662=③資金配分!$D$5, B662=③資金配分!$D$6, C662=③資金配分!$D$4, C662=③資金配分!$D$5, C662=③資金配分!$D$6), 0, IF(AND(③資金配分!$B$8&gt;0, G662&lt;=③資金配分!$B$8), 1, 0))))</f>
        <v>0</v>
      </c>
      <c r="I662">
        <f t="shared" si="21"/>
        <v>0</v>
      </c>
      <c r="J662">
        <f>IF(I662&gt;0, ROUND((I662 / SUM($I$2:$I$817)) * ③資金配分!$B$7, -2), 0)</f>
        <v>0</v>
      </c>
    </row>
    <row r="663" spans="1:10" x14ac:dyDescent="0.4">
      <c r="A663">
        <v>8</v>
      </c>
      <c r="B663">
        <v>10</v>
      </c>
      <c r="C663">
        <v>12</v>
      </c>
      <c r="D663">
        <f>IFERROR(IF(_xlfn.XLOOKUP(A663, ①オッズ入力!$A$2:$A$19, ①オッズ入力!$D$2:$D$19, "")="", 0, _xlfn.XLOOKUP(A663, ①オッズ入力!$A$2:$A$19, ①オッズ入力!$D$2:$D$19, 0)), 0)</f>
        <v>2.3820017602024068E-2</v>
      </c>
      <c r="E663">
        <f>IFERROR(IF(_xlfn.XLOOKUP(B663, ①オッズ入力!$A$2:$A$19, ①オッズ入力!$D$2:$D$19, "")="", 0, _xlfn.XLOOKUP(B663, ①オッズ入力!$A$2:$A$19, ①オッズ入力!$D$2:$D$19, 0)), 0)</f>
        <v>1.7865013201518051E-2</v>
      </c>
      <c r="F663">
        <f>IFERROR(IF(_xlfn.XLOOKUP(C663, ①オッズ入力!$A$2:$A$19, ①オッズ入力!$D$2:$D$19, "")="", 0, _xlfn.XLOOKUP(C663, ①オッズ入力!$A$2:$A$19, ①オッズ入力!$D$2:$D$19, 0)), 0)</f>
        <v>1.4887511001265043E-2</v>
      </c>
      <c r="G663">
        <f t="shared" si="20"/>
        <v>157845.60172848892</v>
      </c>
      <c r="H663">
        <f>IF(G663="", 0, IF(OR(A663=③資金配分!$D$1, A663=③資金配分!$D$2, B663=③資金配分!$D$1, B663=③資金配分!$D$2, C663=③資金配分!$D$1, C663=③資金配分!$D$2), 0, IF(OR(A663=③資金配分!$D$4, A663=③資金配分!$D$5, A663=③資金配分!$D$6, B663=③資金配分!$D$4, B663=③資金配分!$D$5, B663=③資金配分!$D$6, C663=③資金配分!$D$4, C663=③資金配分!$D$5, C663=③資金配分!$D$6), 0, IF(AND(③資金配分!$B$8&gt;0, G663&lt;=③資金配分!$B$8), 1, 0))))</f>
        <v>0</v>
      </c>
      <c r="I663">
        <f t="shared" si="21"/>
        <v>0</v>
      </c>
      <c r="J663">
        <f>IF(I663&gt;0, ROUND((I663 / SUM($I$2:$I$817)) * ③資金配分!$B$7, -2), 0)</f>
        <v>0</v>
      </c>
    </row>
    <row r="664" spans="1:10" x14ac:dyDescent="0.4">
      <c r="A664">
        <v>8</v>
      </c>
      <c r="B664">
        <v>10</v>
      </c>
      <c r="C664">
        <v>13</v>
      </c>
      <c r="D664">
        <f>IFERROR(IF(_xlfn.XLOOKUP(A664, ①オッズ入力!$A$2:$A$19, ①オッズ入力!$D$2:$D$19, "")="", 0, _xlfn.XLOOKUP(A664, ①オッズ入力!$A$2:$A$19, ①オッズ入力!$D$2:$D$19, 0)), 0)</f>
        <v>2.3820017602024068E-2</v>
      </c>
      <c r="E664">
        <f>IFERROR(IF(_xlfn.XLOOKUP(B664, ①オッズ入力!$A$2:$A$19, ①オッズ入力!$D$2:$D$19, "")="", 0, _xlfn.XLOOKUP(B664, ①オッズ入力!$A$2:$A$19, ①オッズ入力!$D$2:$D$19, 0)), 0)</f>
        <v>1.7865013201518051E-2</v>
      </c>
      <c r="F664">
        <f>IFERROR(IF(_xlfn.XLOOKUP(C664, ①オッズ入力!$A$2:$A$19, ①オッズ入力!$D$2:$D$19, "")="", 0, _xlfn.XLOOKUP(C664, ①オッズ入力!$A$2:$A$19, ①オッズ入力!$D$2:$D$19, 0)), 0)</f>
        <v>1.2760723715370036E-2</v>
      </c>
      <c r="G664">
        <f t="shared" si="20"/>
        <v>184153.2020165704</v>
      </c>
      <c r="H664">
        <f>IF(G664="", 0, IF(OR(A664=③資金配分!$D$1, A664=③資金配分!$D$2, B664=③資金配分!$D$1, B664=③資金配分!$D$2, C664=③資金配分!$D$1, C664=③資金配分!$D$2), 0, IF(OR(A664=③資金配分!$D$4, A664=③資金配分!$D$5, A664=③資金配分!$D$6, B664=③資金配分!$D$4, B664=③資金配分!$D$5, B664=③資金配分!$D$6, C664=③資金配分!$D$4, C664=③資金配分!$D$5, C664=③資金配分!$D$6), 0, IF(AND(③資金配分!$B$8&gt;0, G664&lt;=③資金配分!$B$8), 1, 0))))</f>
        <v>0</v>
      </c>
      <c r="I664">
        <f t="shared" si="21"/>
        <v>0</v>
      </c>
      <c r="J664">
        <f>IF(I664&gt;0, ROUND((I664 / SUM($I$2:$I$817)) * ③資金配分!$B$7, -2), 0)</f>
        <v>0</v>
      </c>
    </row>
    <row r="665" spans="1:10" x14ac:dyDescent="0.4">
      <c r="A665">
        <v>8</v>
      </c>
      <c r="B665">
        <v>10</v>
      </c>
      <c r="C665">
        <v>14</v>
      </c>
      <c r="D665">
        <f>IFERROR(IF(_xlfn.XLOOKUP(A665, ①オッズ入力!$A$2:$A$19, ①オッズ入力!$D$2:$D$19, "")="", 0, _xlfn.XLOOKUP(A665, ①オッズ入力!$A$2:$A$19, ①オッズ入力!$D$2:$D$19, 0)), 0)</f>
        <v>2.3820017602024068E-2</v>
      </c>
      <c r="E665">
        <f>IFERROR(IF(_xlfn.XLOOKUP(B665, ①オッズ入力!$A$2:$A$19, ①オッズ入力!$D$2:$D$19, "")="", 0, _xlfn.XLOOKUP(B665, ①オッズ入力!$A$2:$A$19, ①オッズ入力!$D$2:$D$19, 0)), 0)</f>
        <v>1.7865013201518051E-2</v>
      </c>
      <c r="F665">
        <f>IFERROR(IF(_xlfn.XLOOKUP(C665, ①オッズ入力!$A$2:$A$19, ①オッズ入力!$D$2:$D$19, "")="", 0, _xlfn.XLOOKUP(C665, ①オッズ入力!$A$2:$A$19, ①オッズ入力!$D$2:$D$19, 0)), 0)</f>
        <v>1.1525814968721322E-2</v>
      </c>
      <c r="G665">
        <f t="shared" si="20"/>
        <v>203883.90223263152</v>
      </c>
      <c r="H665">
        <f>IF(G665="", 0, IF(OR(A665=③資金配分!$D$1, A665=③資金配分!$D$2, B665=③資金配分!$D$1, B665=③資金配分!$D$2, C665=③資金配分!$D$1, C665=③資金配分!$D$2), 0, IF(OR(A665=③資金配分!$D$4, A665=③資金配分!$D$5, A665=③資金配分!$D$6, B665=③資金配分!$D$4, B665=③資金配分!$D$5, B665=③資金配分!$D$6, C665=③資金配分!$D$4, C665=③資金配分!$D$5, C665=③資金配分!$D$6), 0, IF(AND(③資金配分!$B$8&gt;0, G665&lt;=③資金配分!$B$8), 1, 0))))</f>
        <v>0</v>
      </c>
      <c r="I665">
        <f t="shared" si="21"/>
        <v>0</v>
      </c>
      <c r="J665">
        <f>IF(I665&gt;0, ROUND((I665 / SUM($I$2:$I$817)) * ③資金配分!$B$7, -2), 0)</f>
        <v>0</v>
      </c>
    </row>
    <row r="666" spans="1:10" x14ac:dyDescent="0.4">
      <c r="A666">
        <v>8</v>
      </c>
      <c r="B666">
        <v>10</v>
      </c>
      <c r="C666">
        <v>15</v>
      </c>
      <c r="D666">
        <f>IFERROR(IF(_xlfn.XLOOKUP(A666, ①オッズ入力!$A$2:$A$19, ①オッズ入力!$D$2:$D$19, "")="", 0, _xlfn.XLOOKUP(A666, ①オッズ入力!$A$2:$A$19, ①オッズ入力!$D$2:$D$19, 0)), 0)</f>
        <v>2.3820017602024068E-2</v>
      </c>
      <c r="E666">
        <f>IFERROR(IF(_xlfn.XLOOKUP(B666, ①オッズ入力!$A$2:$A$19, ①オッズ入力!$D$2:$D$19, "")="", 0, _xlfn.XLOOKUP(B666, ①オッズ入力!$A$2:$A$19, ①オッズ入力!$D$2:$D$19, 0)), 0)</f>
        <v>1.7865013201518051E-2</v>
      </c>
      <c r="F666">
        <f>IFERROR(IF(_xlfn.XLOOKUP(C666, ①オッズ入力!$A$2:$A$19, ①オッズ入力!$D$2:$D$19, "")="", 0, _xlfn.XLOOKUP(C666, ①オッズ入力!$A$2:$A$19, ①オッズ入力!$D$2:$D$19, 0)), 0)</f>
        <v>1.0697612695519792E-2</v>
      </c>
      <c r="G666">
        <f t="shared" si="20"/>
        <v>219668.46240548039</v>
      </c>
      <c r="H666">
        <f>IF(G666="", 0, IF(OR(A666=③資金配分!$D$1, A666=③資金配分!$D$2, B666=③資金配分!$D$1, B666=③資金配分!$D$2, C666=③資金配分!$D$1, C666=③資金配分!$D$2), 0, IF(OR(A666=③資金配分!$D$4, A666=③資金配分!$D$5, A666=③資金配分!$D$6, B666=③資金配分!$D$4, B666=③資金配分!$D$5, B666=③資金配分!$D$6, C666=③資金配分!$D$4, C666=③資金配分!$D$5, C666=③資金配分!$D$6), 0, IF(AND(③資金配分!$B$8&gt;0, G666&lt;=③資金配分!$B$8), 1, 0))))</f>
        <v>0</v>
      </c>
      <c r="I666">
        <f t="shared" si="21"/>
        <v>0</v>
      </c>
      <c r="J666">
        <f>IF(I666&gt;0, ROUND((I666 / SUM($I$2:$I$817)) * ③資金配分!$B$7, -2), 0)</f>
        <v>0</v>
      </c>
    </row>
    <row r="667" spans="1:10" x14ac:dyDescent="0.4">
      <c r="A667">
        <v>8</v>
      </c>
      <c r="B667">
        <v>10</v>
      </c>
      <c r="C667">
        <v>16</v>
      </c>
      <c r="D667">
        <f>IFERROR(IF(_xlfn.XLOOKUP(A667, ①オッズ入力!$A$2:$A$19, ①オッズ入力!$D$2:$D$19, "")="", 0, _xlfn.XLOOKUP(A667, ①オッズ入力!$A$2:$A$19, ①オッズ入力!$D$2:$D$19, 0)), 0)</f>
        <v>2.3820017602024068E-2</v>
      </c>
      <c r="E667">
        <f>IFERROR(IF(_xlfn.XLOOKUP(B667, ①オッズ入力!$A$2:$A$19, ①オッズ入力!$D$2:$D$19, "")="", 0, _xlfn.XLOOKUP(B667, ①オッズ入力!$A$2:$A$19, ①オッズ入力!$D$2:$D$19, 0)), 0)</f>
        <v>1.7865013201518051E-2</v>
      </c>
      <c r="F667">
        <f>IFERROR(IF(_xlfn.XLOOKUP(C667, ①オッズ入力!$A$2:$A$19, ①オッズ入力!$D$2:$D$19, "")="", 0, _xlfn.XLOOKUP(C667, ①オッズ入力!$A$2:$A$19, ①オッズ入力!$D$2:$D$19, 0)), 0)</f>
        <v>9.8701730395127345E-3</v>
      </c>
      <c r="G667">
        <f t="shared" si="20"/>
        <v>238083.78260713746</v>
      </c>
      <c r="H667">
        <f>IF(G667="", 0, IF(OR(A667=③資金配分!$D$1, A667=③資金配分!$D$2, B667=③資金配分!$D$1, B667=③資金配分!$D$2, C667=③資金配分!$D$1, C667=③資金配分!$D$2), 0, IF(OR(A667=③資金配分!$D$4, A667=③資金配分!$D$5, A667=③資金配分!$D$6, B667=③資金配分!$D$4, B667=③資金配分!$D$5, B667=③資金配分!$D$6, C667=③資金配分!$D$4, C667=③資金配分!$D$5, C667=③資金配分!$D$6), 0, IF(AND(③資金配分!$B$8&gt;0, G667&lt;=③資金配分!$B$8), 1, 0))))</f>
        <v>0</v>
      </c>
      <c r="I667">
        <f t="shared" si="21"/>
        <v>0</v>
      </c>
      <c r="J667">
        <f>IF(I667&gt;0, ROUND((I667 / SUM($I$2:$I$817)) * ③資金配分!$B$7, -2), 0)</f>
        <v>0</v>
      </c>
    </row>
    <row r="668" spans="1:10" x14ac:dyDescent="0.4">
      <c r="A668">
        <v>8</v>
      </c>
      <c r="B668">
        <v>10</v>
      </c>
      <c r="C668">
        <v>17</v>
      </c>
      <c r="D668">
        <f>IFERROR(IF(_xlfn.XLOOKUP(A668, ①オッズ入力!$A$2:$A$19, ①オッズ入力!$D$2:$D$19, "")="", 0, _xlfn.XLOOKUP(A668, ①オッズ入力!$A$2:$A$19, ①オッズ入力!$D$2:$D$19, 0)), 0)</f>
        <v>2.3820017602024068E-2</v>
      </c>
      <c r="E668">
        <f>IFERROR(IF(_xlfn.XLOOKUP(B668, ①オッズ入力!$A$2:$A$19, ①オッズ入力!$D$2:$D$19, "")="", 0, _xlfn.XLOOKUP(B668, ①オッズ入力!$A$2:$A$19, ①オッズ入力!$D$2:$D$19, 0)), 0)</f>
        <v>1.7865013201518051E-2</v>
      </c>
      <c r="F668">
        <f>IFERROR(IF(_xlfn.XLOOKUP(C668, ①オッズ入力!$A$2:$A$19, ①オッズ入力!$D$2:$D$19, "")="", 0, _xlfn.XLOOKUP(C668, ①オッズ入力!$A$2:$A$19, ①オッズ入力!$D$2:$D$19, 0)), 0)</f>
        <v>9.1615452315477186E-3</v>
      </c>
      <c r="G668">
        <f t="shared" si="20"/>
        <v>256499.10280879447</v>
      </c>
      <c r="H668">
        <f>IF(G668="", 0, IF(OR(A668=③資金配分!$D$1, A668=③資金配分!$D$2, B668=③資金配分!$D$1, B668=③資金配分!$D$2, C668=③資金配分!$D$1, C668=③資金配分!$D$2), 0, IF(OR(A668=③資金配分!$D$4, A668=③資金配分!$D$5, A668=③資金配分!$D$6, B668=③資金配分!$D$4, B668=③資金配分!$D$5, B668=③資金配分!$D$6, C668=③資金配分!$D$4, C668=③資金配分!$D$5, C668=③資金配分!$D$6), 0, IF(AND(③資金配分!$B$8&gt;0, G668&lt;=③資金配分!$B$8), 1, 0))))</f>
        <v>0</v>
      </c>
      <c r="I668">
        <f t="shared" si="21"/>
        <v>0</v>
      </c>
      <c r="J668">
        <f>IF(I668&gt;0, ROUND((I668 / SUM($I$2:$I$817)) * ③資金配分!$B$7, -2), 0)</f>
        <v>0</v>
      </c>
    </row>
    <row r="669" spans="1:10" x14ac:dyDescent="0.4">
      <c r="A669">
        <v>8</v>
      </c>
      <c r="B669">
        <v>10</v>
      </c>
      <c r="C669">
        <v>18</v>
      </c>
      <c r="D669">
        <f>IFERROR(IF(_xlfn.XLOOKUP(A669, ①オッズ入力!$A$2:$A$19, ①オッズ入力!$D$2:$D$19, "")="", 0, _xlfn.XLOOKUP(A669, ①オッズ入力!$A$2:$A$19, ①オッズ入力!$D$2:$D$19, 0)), 0)</f>
        <v>2.3820017602024068E-2</v>
      </c>
      <c r="E669">
        <f>IFERROR(IF(_xlfn.XLOOKUP(B669, ①オッズ入力!$A$2:$A$19, ①オッズ入力!$D$2:$D$19, "")="", 0, _xlfn.XLOOKUP(B669, ①オッズ入力!$A$2:$A$19, ①オッズ入力!$D$2:$D$19, 0)), 0)</f>
        <v>1.7865013201518051E-2</v>
      </c>
      <c r="F669">
        <f>IFERROR(IF(_xlfn.XLOOKUP(C669, ①オッズ入力!$A$2:$A$19, ①オッズ入力!$D$2:$D$19, "")="", 0, _xlfn.XLOOKUP(C669, ①オッズ入力!$A$2:$A$19, ①オッズ入力!$D$2:$D$19, 0)), 0)</f>
        <v>8.5478532064679671E-3</v>
      </c>
      <c r="G669">
        <f t="shared" si="20"/>
        <v>274914.42301045154</v>
      </c>
      <c r="H669">
        <f>IF(G669="", 0, IF(OR(A669=③資金配分!$D$1, A669=③資金配分!$D$2, B669=③資金配分!$D$1, B669=③資金配分!$D$2, C669=③資金配分!$D$1, C669=③資金配分!$D$2), 0, IF(OR(A669=③資金配分!$D$4, A669=③資金配分!$D$5, A669=③資金配分!$D$6, B669=③資金配分!$D$4, B669=③資金配分!$D$5, B669=③資金配分!$D$6, C669=③資金配分!$D$4, C669=③資金配分!$D$5, C669=③資金配分!$D$6), 0, IF(AND(③資金配分!$B$8&gt;0, G669&lt;=③資金配分!$B$8), 1, 0))))</f>
        <v>0</v>
      </c>
      <c r="I669">
        <f t="shared" si="21"/>
        <v>0</v>
      </c>
      <c r="J669">
        <f>IF(I669&gt;0, ROUND((I669 / SUM($I$2:$I$817)) * ③資金配分!$B$7, -2), 0)</f>
        <v>0</v>
      </c>
    </row>
    <row r="670" spans="1:10" x14ac:dyDescent="0.4">
      <c r="A670">
        <v>8</v>
      </c>
      <c r="B670">
        <v>11</v>
      </c>
      <c r="C670">
        <v>12</v>
      </c>
      <c r="D670">
        <f>IFERROR(IF(_xlfn.XLOOKUP(A670, ①オッズ入力!$A$2:$A$19, ①オッズ入力!$D$2:$D$19, "")="", 0, _xlfn.XLOOKUP(A670, ①オッズ入力!$A$2:$A$19, ①オッズ入力!$D$2:$D$19, 0)), 0)</f>
        <v>2.3820017602024068E-2</v>
      </c>
      <c r="E670">
        <f>IFERROR(IF(_xlfn.XLOOKUP(B670, ①オッズ入力!$A$2:$A$19, ①オッズ入力!$D$2:$D$19, "")="", 0, _xlfn.XLOOKUP(B670, ①オッズ入力!$A$2:$A$19, ①オッズ入力!$D$2:$D$19, 0)), 0)</f>
        <v>1.6240921092289137E-2</v>
      </c>
      <c r="F670">
        <f>IFERROR(IF(_xlfn.XLOOKUP(C670, ①オッズ入力!$A$2:$A$19, ①オッズ入力!$D$2:$D$19, "")="", 0, _xlfn.XLOOKUP(C670, ①オッズ入力!$A$2:$A$19, ①オッズ入力!$D$2:$D$19, 0)), 0)</f>
        <v>1.4887511001265043E-2</v>
      </c>
      <c r="G670">
        <f t="shared" si="20"/>
        <v>173630.16190133779</v>
      </c>
      <c r="H670">
        <f>IF(G670="", 0, IF(OR(A670=③資金配分!$D$1, A670=③資金配分!$D$2, B670=③資金配分!$D$1, B670=③資金配分!$D$2, C670=③資金配分!$D$1, C670=③資金配分!$D$2), 0, IF(OR(A670=③資金配分!$D$4, A670=③資金配分!$D$5, A670=③資金配分!$D$6, B670=③資金配分!$D$4, B670=③資金配分!$D$5, B670=③資金配分!$D$6, C670=③資金配分!$D$4, C670=③資金配分!$D$5, C670=③資金配分!$D$6), 0, IF(AND(③資金配分!$B$8&gt;0, G670&lt;=③資金配分!$B$8), 1, 0))))</f>
        <v>0</v>
      </c>
      <c r="I670">
        <f t="shared" si="21"/>
        <v>0</v>
      </c>
      <c r="J670">
        <f>IF(I670&gt;0, ROUND((I670 / SUM($I$2:$I$817)) * ③資金配分!$B$7, -2), 0)</f>
        <v>0</v>
      </c>
    </row>
    <row r="671" spans="1:10" x14ac:dyDescent="0.4">
      <c r="A671">
        <v>8</v>
      </c>
      <c r="B671">
        <v>11</v>
      </c>
      <c r="C671">
        <v>13</v>
      </c>
      <c r="D671">
        <f>IFERROR(IF(_xlfn.XLOOKUP(A671, ①オッズ入力!$A$2:$A$19, ①オッズ入力!$D$2:$D$19, "")="", 0, _xlfn.XLOOKUP(A671, ①オッズ入力!$A$2:$A$19, ①オッズ入力!$D$2:$D$19, 0)), 0)</f>
        <v>2.3820017602024068E-2</v>
      </c>
      <c r="E671">
        <f>IFERROR(IF(_xlfn.XLOOKUP(B671, ①オッズ入力!$A$2:$A$19, ①オッズ入力!$D$2:$D$19, "")="", 0, _xlfn.XLOOKUP(B671, ①オッズ入力!$A$2:$A$19, ①オッズ入力!$D$2:$D$19, 0)), 0)</f>
        <v>1.6240921092289137E-2</v>
      </c>
      <c r="F671">
        <f>IFERROR(IF(_xlfn.XLOOKUP(C671, ①オッズ入力!$A$2:$A$19, ①オッズ入力!$D$2:$D$19, "")="", 0, _xlfn.XLOOKUP(C671, ①オッズ入力!$A$2:$A$19, ①オッズ入力!$D$2:$D$19, 0)), 0)</f>
        <v>1.2760723715370036E-2</v>
      </c>
      <c r="G671">
        <f t="shared" si="20"/>
        <v>202568.52221822747</v>
      </c>
      <c r="H671">
        <f>IF(G671="", 0, IF(OR(A671=③資金配分!$D$1, A671=③資金配分!$D$2, B671=③資金配分!$D$1, B671=③資金配分!$D$2, C671=③資金配分!$D$1, C671=③資金配分!$D$2), 0, IF(OR(A671=③資金配分!$D$4, A671=③資金配分!$D$5, A671=③資金配分!$D$6, B671=③資金配分!$D$4, B671=③資金配分!$D$5, B671=③資金配分!$D$6, C671=③資金配分!$D$4, C671=③資金配分!$D$5, C671=③資金配分!$D$6), 0, IF(AND(③資金配分!$B$8&gt;0, G671&lt;=③資金配分!$B$8), 1, 0))))</f>
        <v>0</v>
      </c>
      <c r="I671">
        <f t="shared" si="21"/>
        <v>0</v>
      </c>
      <c r="J671">
        <f>IF(I671&gt;0, ROUND((I671 / SUM($I$2:$I$817)) * ③資金配分!$B$7, -2), 0)</f>
        <v>0</v>
      </c>
    </row>
    <row r="672" spans="1:10" x14ac:dyDescent="0.4">
      <c r="A672">
        <v>8</v>
      </c>
      <c r="B672">
        <v>11</v>
      </c>
      <c r="C672">
        <v>14</v>
      </c>
      <c r="D672">
        <f>IFERROR(IF(_xlfn.XLOOKUP(A672, ①オッズ入力!$A$2:$A$19, ①オッズ入力!$D$2:$D$19, "")="", 0, _xlfn.XLOOKUP(A672, ①オッズ入力!$A$2:$A$19, ①オッズ入力!$D$2:$D$19, 0)), 0)</f>
        <v>2.3820017602024068E-2</v>
      </c>
      <c r="E672">
        <f>IFERROR(IF(_xlfn.XLOOKUP(B672, ①オッズ入力!$A$2:$A$19, ①オッズ入力!$D$2:$D$19, "")="", 0, _xlfn.XLOOKUP(B672, ①オッズ入力!$A$2:$A$19, ①オッズ入力!$D$2:$D$19, 0)), 0)</f>
        <v>1.6240921092289137E-2</v>
      </c>
      <c r="F672">
        <f>IFERROR(IF(_xlfn.XLOOKUP(C672, ①オッズ入力!$A$2:$A$19, ①オッズ入力!$D$2:$D$19, "")="", 0, _xlfn.XLOOKUP(C672, ①オッズ入力!$A$2:$A$19, ①オッズ入力!$D$2:$D$19, 0)), 0)</f>
        <v>1.1525814968721322E-2</v>
      </c>
      <c r="G672">
        <f t="shared" si="20"/>
        <v>224272.2924558947</v>
      </c>
      <c r="H672">
        <f>IF(G672="", 0, IF(OR(A672=③資金配分!$D$1, A672=③資金配分!$D$2, B672=③資金配分!$D$1, B672=③資金配分!$D$2, C672=③資金配分!$D$1, C672=③資金配分!$D$2), 0, IF(OR(A672=③資金配分!$D$4, A672=③資金配分!$D$5, A672=③資金配分!$D$6, B672=③資金配分!$D$4, B672=③資金配分!$D$5, B672=③資金配分!$D$6, C672=③資金配分!$D$4, C672=③資金配分!$D$5, C672=③資金配分!$D$6), 0, IF(AND(③資金配分!$B$8&gt;0, G672&lt;=③資金配分!$B$8), 1, 0))))</f>
        <v>0</v>
      </c>
      <c r="I672">
        <f t="shared" si="21"/>
        <v>0</v>
      </c>
      <c r="J672">
        <f>IF(I672&gt;0, ROUND((I672 / SUM($I$2:$I$817)) * ③資金配分!$B$7, -2), 0)</f>
        <v>0</v>
      </c>
    </row>
    <row r="673" spans="1:10" x14ac:dyDescent="0.4">
      <c r="A673">
        <v>8</v>
      </c>
      <c r="B673">
        <v>11</v>
      </c>
      <c r="C673">
        <v>15</v>
      </c>
      <c r="D673">
        <f>IFERROR(IF(_xlfn.XLOOKUP(A673, ①オッズ入力!$A$2:$A$19, ①オッズ入力!$D$2:$D$19, "")="", 0, _xlfn.XLOOKUP(A673, ①オッズ入力!$A$2:$A$19, ①オッズ入力!$D$2:$D$19, 0)), 0)</f>
        <v>2.3820017602024068E-2</v>
      </c>
      <c r="E673">
        <f>IFERROR(IF(_xlfn.XLOOKUP(B673, ①オッズ入力!$A$2:$A$19, ①オッズ入力!$D$2:$D$19, "")="", 0, _xlfn.XLOOKUP(B673, ①オッズ入力!$A$2:$A$19, ①オッズ入力!$D$2:$D$19, 0)), 0)</f>
        <v>1.6240921092289137E-2</v>
      </c>
      <c r="F673">
        <f>IFERROR(IF(_xlfn.XLOOKUP(C673, ①オッズ入力!$A$2:$A$19, ①オッズ入力!$D$2:$D$19, "")="", 0, _xlfn.XLOOKUP(C673, ①オッズ入力!$A$2:$A$19, ①オッズ入力!$D$2:$D$19, 0)), 0)</f>
        <v>1.0697612695519792E-2</v>
      </c>
      <c r="G673">
        <f t="shared" si="20"/>
        <v>241635.30864602845</v>
      </c>
      <c r="H673">
        <f>IF(G673="", 0, IF(OR(A673=③資金配分!$D$1, A673=③資金配分!$D$2, B673=③資金配分!$D$1, B673=③資金配分!$D$2, C673=③資金配分!$D$1, C673=③資金配分!$D$2), 0, IF(OR(A673=③資金配分!$D$4, A673=③資金配分!$D$5, A673=③資金配分!$D$6, B673=③資金配分!$D$4, B673=③資金配分!$D$5, B673=③資金配分!$D$6, C673=③資金配分!$D$4, C673=③資金配分!$D$5, C673=③資金配分!$D$6), 0, IF(AND(③資金配分!$B$8&gt;0, G673&lt;=③資金配分!$B$8), 1, 0))))</f>
        <v>0</v>
      </c>
      <c r="I673">
        <f t="shared" si="21"/>
        <v>0</v>
      </c>
      <c r="J673">
        <f>IF(I673&gt;0, ROUND((I673 / SUM($I$2:$I$817)) * ③資金配分!$B$7, -2), 0)</f>
        <v>0</v>
      </c>
    </row>
    <row r="674" spans="1:10" x14ac:dyDescent="0.4">
      <c r="A674">
        <v>8</v>
      </c>
      <c r="B674">
        <v>11</v>
      </c>
      <c r="C674">
        <v>16</v>
      </c>
      <c r="D674">
        <f>IFERROR(IF(_xlfn.XLOOKUP(A674, ①オッズ入力!$A$2:$A$19, ①オッズ入力!$D$2:$D$19, "")="", 0, _xlfn.XLOOKUP(A674, ①オッズ入力!$A$2:$A$19, ①オッズ入力!$D$2:$D$19, 0)), 0)</f>
        <v>2.3820017602024068E-2</v>
      </c>
      <c r="E674">
        <f>IFERROR(IF(_xlfn.XLOOKUP(B674, ①オッズ入力!$A$2:$A$19, ①オッズ入力!$D$2:$D$19, "")="", 0, _xlfn.XLOOKUP(B674, ①オッズ入力!$A$2:$A$19, ①オッズ入力!$D$2:$D$19, 0)), 0)</f>
        <v>1.6240921092289137E-2</v>
      </c>
      <c r="F674">
        <f>IFERROR(IF(_xlfn.XLOOKUP(C674, ①オッズ入力!$A$2:$A$19, ①オッズ入力!$D$2:$D$19, "")="", 0, _xlfn.XLOOKUP(C674, ①オッズ入力!$A$2:$A$19, ①オッズ入力!$D$2:$D$19, 0)), 0)</f>
        <v>9.8701730395127345E-3</v>
      </c>
      <c r="G674">
        <f t="shared" si="20"/>
        <v>261892.1608678512</v>
      </c>
      <c r="H674">
        <f>IF(G674="", 0, IF(OR(A674=③資金配分!$D$1, A674=③資金配分!$D$2, B674=③資金配分!$D$1, B674=③資金配分!$D$2, C674=③資金配分!$D$1, C674=③資金配分!$D$2), 0, IF(OR(A674=③資金配分!$D$4, A674=③資金配分!$D$5, A674=③資金配分!$D$6, B674=③資金配分!$D$4, B674=③資金配分!$D$5, B674=③資金配分!$D$6, C674=③資金配分!$D$4, C674=③資金配分!$D$5, C674=③資金配分!$D$6), 0, IF(AND(③資金配分!$B$8&gt;0, G674&lt;=③資金配分!$B$8), 1, 0))))</f>
        <v>0</v>
      </c>
      <c r="I674">
        <f t="shared" si="21"/>
        <v>0</v>
      </c>
      <c r="J674">
        <f>IF(I674&gt;0, ROUND((I674 / SUM($I$2:$I$817)) * ③資金配分!$B$7, -2), 0)</f>
        <v>0</v>
      </c>
    </row>
    <row r="675" spans="1:10" x14ac:dyDescent="0.4">
      <c r="A675">
        <v>8</v>
      </c>
      <c r="B675">
        <v>11</v>
      </c>
      <c r="C675">
        <v>17</v>
      </c>
      <c r="D675">
        <f>IFERROR(IF(_xlfn.XLOOKUP(A675, ①オッズ入力!$A$2:$A$19, ①オッズ入力!$D$2:$D$19, "")="", 0, _xlfn.XLOOKUP(A675, ①オッズ入力!$A$2:$A$19, ①オッズ入力!$D$2:$D$19, 0)), 0)</f>
        <v>2.3820017602024068E-2</v>
      </c>
      <c r="E675">
        <f>IFERROR(IF(_xlfn.XLOOKUP(B675, ①オッズ入力!$A$2:$A$19, ①オッズ入力!$D$2:$D$19, "")="", 0, _xlfn.XLOOKUP(B675, ①オッズ入力!$A$2:$A$19, ①オッズ入力!$D$2:$D$19, 0)), 0)</f>
        <v>1.6240921092289137E-2</v>
      </c>
      <c r="F675">
        <f>IFERROR(IF(_xlfn.XLOOKUP(C675, ①オッズ入力!$A$2:$A$19, ①オッズ入力!$D$2:$D$19, "")="", 0, _xlfn.XLOOKUP(C675, ①オッズ入力!$A$2:$A$19, ①オッズ入力!$D$2:$D$19, 0)), 0)</f>
        <v>9.1615452315477186E-3</v>
      </c>
      <c r="G675">
        <f t="shared" si="20"/>
        <v>282149.01308967394</v>
      </c>
      <c r="H675">
        <f>IF(G675="", 0, IF(OR(A675=③資金配分!$D$1, A675=③資金配分!$D$2, B675=③資金配分!$D$1, B675=③資金配分!$D$2, C675=③資金配分!$D$1, C675=③資金配分!$D$2), 0, IF(OR(A675=③資金配分!$D$4, A675=③資金配分!$D$5, A675=③資金配分!$D$6, B675=③資金配分!$D$4, B675=③資金配分!$D$5, B675=③資金配分!$D$6, C675=③資金配分!$D$4, C675=③資金配分!$D$5, C675=③資金配分!$D$6), 0, IF(AND(③資金配分!$B$8&gt;0, G675&lt;=③資金配分!$B$8), 1, 0))))</f>
        <v>0</v>
      </c>
      <c r="I675">
        <f t="shared" si="21"/>
        <v>0</v>
      </c>
      <c r="J675">
        <f>IF(I675&gt;0, ROUND((I675 / SUM($I$2:$I$817)) * ③資金配分!$B$7, -2), 0)</f>
        <v>0</v>
      </c>
    </row>
    <row r="676" spans="1:10" x14ac:dyDescent="0.4">
      <c r="A676">
        <v>8</v>
      </c>
      <c r="B676">
        <v>11</v>
      </c>
      <c r="C676">
        <v>18</v>
      </c>
      <c r="D676">
        <f>IFERROR(IF(_xlfn.XLOOKUP(A676, ①オッズ入力!$A$2:$A$19, ①オッズ入力!$D$2:$D$19, "")="", 0, _xlfn.XLOOKUP(A676, ①オッズ入力!$A$2:$A$19, ①オッズ入力!$D$2:$D$19, 0)), 0)</f>
        <v>2.3820017602024068E-2</v>
      </c>
      <c r="E676">
        <f>IFERROR(IF(_xlfn.XLOOKUP(B676, ①オッズ入力!$A$2:$A$19, ①オッズ入力!$D$2:$D$19, "")="", 0, _xlfn.XLOOKUP(B676, ①オッズ入力!$A$2:$A$19, ①オッズ入力!$D$2:$D$19, 0)), 0)</f>
        <v>1.6240921092289137E-2</v>
      </c>
      <c r="F676">
        <f>IFERROR(IF(_xlfn.XLOOKUP(C676, ①オッズ入力!$A$2:$A$19, ①オッズ入力!$D$2:$D$19, "")="", 0, _xlfn.XLOOKUP(C676, ①オッズ入力!$A$2:$A$19, ①オッズ入力!$D$2:$D$19, 0)), 0)</f>
        <v>8.5478532064679671E-3</v>
      </c>
      <c r="G676">
        <f t="shared" si="20"/>
        <v>302405.86531149672</v>
      </c>
      <c r="H676">
        <f>IF(G676="", 0, IF(OR(A676=③資金配分!$D$1, A676=③資金配分!$D$2, B676=③資金配分!$D$1, B676=③資金配分!$D$2, C676=③資金配分!$D$1, C676=③資金配分!$D$2), 0, IF(OR(A676=③資金配分!$D$4, A676=③資金配分!$D$5, A676=③資金配分!$D$6, B676=③資金配分!$D$4, B676=③資金配分!$D$5, B676=③資金配分!$D$6, C676=③資金配分!$D$4, C676=③資金配分!$D$5, C676=③資金配分!$D$6), 0, IF(AND(③資金配分!$B$8&gt;0, G676&lt;=③資金配分!$B$8), 1, 0))))</f>
        <v>0</v>
      </c>
      <c r="I676">
        <f t="shared" si="21"/>
        <v>0</v>
      </c>
      <c r="J676">
        <f>IF(I676&gt;0, ROUND((I676 / SUM($I$2:$I$817)) * ③資金配分!$B$7, -2), 0)</f>
        <v>0</v>
      </c>
    </row>
    <row r="677" spans="1:10" x14ac:dyDescent="0.4">
      <c r="A677">
        <v>8</v>
      </c>
      <c r="B677">
        <v>12</v>
      </c>
      <c r="C677">
        <v>13</v>
      </c>
      <c r="D677">
        <f>IFERROR(IF(_xlfn.XLOOKUP(A677, ①オッズ入力!$A$2:$A$19, ①オッズ入力!$D$2:$D$19, "")="", 0, _xlfn.XLOOKUP(A677, ①オッズ入力!$A$2:$A$19, ①オッズ入力!$D$2:$D$19, 0)), 0)</f>
        <v>2.3820017602024068E-2</v>
      </c>
      <c r="E677">
        <f>IFERROR(IF(_xlfn.XLOOKUP(B677, ①オッズ入力!$A$2:$A$19, ①オッズ入力!$D$2:$D$19, "")="", 0, _xlfn.XLOOKUP(B677, ①オッズ入力!$A$2:$A$19, ①オッズ入力!$D$2:$D$19, 0)), 0)</f>
        <v>1.4887511001265043E-2</v>
      </c>
      <c r="F677">
        <f>IFERROR(IF(_xlfn.XLOOKUP(C677, ①オッズ入力!$A$2:$A$19, ①オッズ入力!$D$2:$D$19, "")="", 0, _xlfn.XLOOKUP(C677, ①オッズ入力!$A$2:$A$19, ①オッズ入力!$D$2:$D$19, 0)), 0)</f>
        <v>1.2760723715370036E-2</v>
      </c>
      <c r="G677">
        <f t="shared" si="20"/>
        <v>220983.84241988452</v>
      </c>
      <c r="H677">
        <f>IF(G677="", 0, IF(OR(A677=③資金配分!$D$1, A677=③資金配分!$D$2, B677=③資金配分!$D$1, B677=③資金配分!$D$2, C677=③資金配分!$D$1, C677=③資金配分!$D$2), 0, IF(OR(A677=③資金配分!$D$4, A677=③資金配分!$D$5, A677=③資金配分!$D$6, B677=③資金配分!$D$4, B677=③資金配分!$D$5, B677=③資金配分!$D$6, C677=③資金配分!$D$4, C677=③資金配分!$D$5, C677=③資金配分!$D$6), 0, IF(AND(③資金配分!$B$8&gt;0, G677&lt;=③資金配分!$B$8), 1, 0))))</f>
        <v>0</v>
      </c>
      <c r="I677">
        <f t="shared" si="21"/>
        <v>0</v>
      </c>
      <c r="J677">
        <f>IF(I677&gt;0, ROUND((I677 / SUM($I$2:$I$817)) * ③資金配分!$B$7, -2), 0)</f>
        <v>0</v>
      </c>
    </row>
    <row r="678" spans="1:10" x14ac:dyDescent="0.4">
      <c r="A678">
        <v>8</v>
      </c>
      <c r="B678">
        <v>12</v>
      </c>
      <c r="C678">
        <v>14</v>
      </c>
      <c r="D678">
        <f>IFERROR(IF(_xlfn.XLOOKUP(A678, ①オッズ入力!$A$2:$A$19, ①オッズ入力!$D$2:$D$19, "")="", 0, _xlfn.XLOOKUP(A678, ①オッズ入力!$A$2:$A$19, ①オッズ入力!$D$2:$D$19, 0)), 0)</f>
        <v>2.3820017602024068E-2</v>
      </c>
      <c r="E678">
        <f>IFERROR(IF(_xlfn.XLOOKUP(B678, ①オッズ入力!$A$2:$A$19, ①オッズ入力!$D$2:$D$19, "")="", 0, _xlfn.XLOOKUP(B678, ①オッズ入力!$A$2:$A$19, ①オッズ入力!$D$2:$D$19, 0)), 0)</f>
        <v>1.4887511001265043E-2</v>
      </c>
      <c r="F678">
        <f>IFERROR(IF(_xlfn.XLOOKUP(C678, ①オッズ入力!$A$2:$A$19, ①オッズ入力!$D$2:$D$19, "")="", 0, _xlfn.XLOOKUP(C678, ①オッズ入力!$A$2:$A$19, ①オッズ入力!$D$2:$D$19, 0)), 0)</f>
        <v>1.1525814968721322E-2</v>
      </c>
      <c r="G678">
        <f t="shared" si="20"/>
        <v>244660.68267915785</v>
      </c>
      <c r="H678">
        <f>IF(G678="", 0, IF(OR(A678=③資金配分!$D$1, A678=③資金配分!$D$2, B678=③資金配分!$D$1, B678=③資金配分!$D$2, C678=③資金配分!$D$1, C678=③資金配分!$D$2), 0, IF(OR(A678=③資金配分!$D$4, A678=③資金配分!$D$5, A678=③資金配分!$D$6, B678=③資金配分!$D$4, B678=③資金配分!$D$5, B678=③資金配分!$D$6, C678=③資金配分!$D$4, C678=③資金配分!$D$5, C678=③資金配分!$D$6), 0, IF(AND(③資金配分!$B$8&gt;0, G678&lt;=③資金配分!$B$8), 1, 0))))</f>
        <v>0</v>
      </c>
      <c r="I678">
        <f t="shared" si="21"/>
        <v>0</v>
      </c>
      <c r="J678">
        <f>IF(I678&gt;0, ROUND((I678 / SUM($I$2:$I$817)) * ③資金配分!$B$7, -2), 0)</f>
        <v>0</v>
      </c>
    </row>
    <row r="679" spans="1:10" x14ac:dyDescent="0.4">
      <c r="A679">
        <v>8</v>
      </c>
      <c r="B679">
        <v>12</v>
      </c>
      <c r="C679">
        <v>15</v>
      </c>
      <c r="D679">
        <f>IFERROR(IF(_xlfn.XLOOKUP(A679, ①オッズ入力!$A$2:$A$19, ①オッズ入力!$D$2:$D$19, "")="", 0, _xlfn.XLOOKUP(A679, ①オッズ入力!$A$2:$A$19, ①オッズ入力!$D$2:$D$19, 0)), 0)</f>
        <v>2.3820017602024068E-2</v>
      </c>
      <c r="E679">
        <f>IFERROR(IF(_xlfn.XLOOKUP(B679, ①オッズ入力!$A$2:$A$19, ①オッズ入力!$D$2:$D$19, "")="", 0, _xlfn.XLOOKUP(B679, ①オッズ入力!$A$2:$A$19, ①オッズ入力!$D$2:$D$19, 0)), 0)</f>
        <v>1.4887511001265043E-2</v>
      </c>
      <c r="F679">
        <f>IFERROR(IF(_xlfn.XLOOKUP(C679, ①オッズ入力!$A$2:$A$19, ①オッズ入力!$D$2:$D$19, "")="", 0, _xlfn.XLOOKUP(C679, ①オッズ入力!$A$2:$A$19, ①オッズ入力!$D$2:$D$19, 0)), 0)</f>
        <v>1.0697612695519792E-2</v>
      </c>
      <c r="G679">
        <f t="shared" si="20"/>
        <v>263602.15488657646</v>
      </c>
      <c r="H679">
        <f>IF(G679="", 0, IF(OR(A679=③資金配分!$D$1, A679=③資金配分!$D$2, B679=③資金配分!$D$1, B679=③資金配分!$D$2, C679=③資金配分!$D$1, C679=③資金配分!$D$2), 0, IF(OR(A679=③資金配分!$D$4, A679=③資金配分!$D$5, A679=③資金配分!$D$6, B679=③資金配分!$D$4, B679=③資金配分!$D$5, B679=③資金配分!$D$6, C679=③資金配分!$D$4, C679=③資金配分!$D$5, C679=③資金配分!$D$6), 0, IF(AND(③資金配分!$B$8&gt;0, G679&lt;=③資金配分!$B$8), 1, 0))))</f>
        <v>0</v>
      </c>
      <c r="I679">
        <f t="shared" si="21"/>
        <v>0</v>
      </c>
      <c r="J679">
        <f>IF(I679&gt;0, ROUND((I679 / SUM($I$2:$I$817)) * ③資金配分!$B$7, -2), 0)</f>
        <v>0</v>
      </c>
    </row>
    <row r="680" spans="1:10" x14ac:dyDescent="0.4">
      <c r="A680">
        <v>8</v>
      </c>
      <c r="B680">
        <v>12</v>
      </c>
      <c r="C680">
        <v>16</v>
      </c>
      <c r="D680">
        <f>IFERROR(IF(_xlfn.XLOOKUP(A680, ①オッズ入力!$A$2:$A$19, ①オッズ入力!$D$2:$D$19, "")="", 0, _xlfn.XLOOKUP(A680, ①オッズ入力!$A$2:$A$19, ①オッズ入力!$D$2:$D$19, 0)), 0)</f>
        <v>2.3820017602024068E-2</v>
      </c>
      <c r="E680">
        <f>IFERROR(IF(_xlfn.XLOOKUP(B680, ①オッズ入力!$A$2:$A$19, ①オッズ入力!$D$2:$D$19, "")="", 0, _xlfn.XLOOKUP(B680, ①オッズ入力!$A$2:$A$19, ①オッズ入力!$D$2:$D$19, 0)), 0)</f>
        <v>1.4887511001265043E-2</v>
      </c>
      <c r="F680">
        <f>IFERROR(IF(_xlfn.XLOOKUP(C680, ①オッズ入力!$A$2:$A$19, ①オッズ入力!$D$2:$D$19, "")="", 0, _xlfn.XLOOKUP(C680, ①オッズ入力!$A$2:$A$19, ①オッズ入力!$D$2:$D$19, 0)), 0)</f>
        <v>9.8701730395127345E-3</v>
      </c>
      <c r="G680">
        <f t="shared" si="20"/>
        <v>285700.53912856494</v>
      </c>
      <c r="H680">
        <f>IF(G680="", 0, IF(OR(A680=③資金配分!$D$1, A680=③資金配分!$D$2, B680=③資金配分!$D$1, B680=③資金配分!$D$2, C680=③資金配分!$D$1, C680=③資金配分!$D$2), 0, IF(OR(A680=③資金配分!$D$4, A680=③資金配分!$D$5, A680=③資金配分!$D$6, B680=③資金配分!$D$4, B680=③資金配分!$D$5, B680=③資金配分!$D$6, C680=③資金配分!$D$4, C680=③資金配分!$D$5, C680=③資金配分!$D$6), 0, IF(AND(③資金配分!$B$8&gt;0, G680&lt;=③資金配分!$B$8), 1, 0))))</f>
        <v>0</v>
      </c>
      <c r="I680">
        <f t="shared" si="21"/>
        <v>0</v>
      </c>
      <c r="J680">
        <f>IF(I680&gt;0, ROUND((I680 / SUM($I$2:$I$817)) * ③資金配分!$B$7, -2), 0)</f>
        <v>0</v>
      </c>
    </row>
    <row r="681" spans="1:10" x14ac:dyDescent="0.4">
      <c r="A681">
        <v>8</v>
      </c>
      <c r="B681">
        <v>12</v>
      </c>
      <c r="C681">
        <v>17</v>
      </c>
      <c r="D681">
        <f>IFERROR(IF(_xlfn.XLOOKUP(A681, ①オッズ入力!$A$2:$A$19, ①オッズ入力!$D$2:$D$19, "")="", 0, _xlfn.XLOOKUP(A681, ①オッズ入力!$A$2:$A$19, ①オッズ入力!$D$2:$D$19, 0)), 0)</f>
        <v>2.3820017602024068E-2</v>
      </c>
      <c r="E681">
        <f>IFERROR(IF(_xlfn.XLOOKUP(B681, ①オッズ入力!$A$2:$A$19, ①オッズ入力!$D$2:$D$19, "")="", 0, _xlfn.XLOOKUP(B681, ①オッズ入力!$A$2:$A$19, ①オッズ入力!$D$2:$D$19, 0)), 0)</f>
        <v>1.4887511001265043E-2</v>
      </c>
      <c r="F681">
        <f>IFERROR(IF(_xlfn.XLOOKUP(C681, ①オッズ入力!$A$2:$A$19, ①オッズ入力!$D$2:$D$19, "")="", 0, _xlfn.XLOOKUP(C681, ①オッズ入力!$A$2:$A$19, ①オッズ入力!$D$2:$D$19, 0)), 0)</f>
        <v>9.1615452315477186E-3</v>
      </c>
      <c r="G681">
        <f t="shared" si="20"/>
        <v>307798.92337055336</v>
      </c>
      <c r="H681">
        <f>IF(G681="", 0, IF(OR(A681=③資金配分!$D$1, A681=③資金配分!$D$2, B681=③資金配分!$D$1, B681=③資金配分!$D$2, C681=③資金配分!$D$1, C681=③資金配分!$D$2), 0, IF(OR(A681=③資金配分!$D$4, A681=③資金配分!$D$5, A681=③資金配分!$D$6, B681=③資金配分!$D$4, B681=③資金配分!$D$5, B681=③資金配分!$D$6, C681=③資金配分!$D$4, C681=③資金配分!$D$5, C681=③資金配分!$D$6), 0, IF(AND(③資金配分!$B$8&gt;0, G681&lt;=③資金配分!$B$8), 1, 0))))</f>
        <v>0</v>
      </c>
      <c r="I681">
        <f t="shared" si="21"/>
        <v>0</v>
      </c>
      <c r="J681">
        <f>IF(I681&gt;0, ROUND((I681 / SUM($I$2:$I$817)) * ③資金配分!$B$7, -2), 0)</f>
        <v>0</v>
      </c>
    </row>
    <row r="682" spans="1:10" x14ac:dyDescent="0.4">
      <c r="A682">
        <v>8</v>
      </c>
      <c r="B682">
        <v>12</v>
      </c>
      <c r="C682">
        <v>18</v>
      </c>
      <c r="D682">
        <f>IFERROR(IF(_xlfn.XLOOKUP(A682, ①オッズ入力!$A$2:$A$19, ①オッズ入力!$D$2:$D$19, "")="", 0, _xlfn.XLOOKUP(A682, ①オッズ入力!$A$2:$A$19, ①オッズ入力!$D$2:$D$19, 0)), 0)</f>
        <v>2.3820017602024068E-2</v>
      </c>
      <c r="E682">
        <f>IFERROR(IF(_xlfn.XLOOKUP(B682, ①オッズ入力!$A$2:$A$19, ①オッズ入力!$D$2:$D$19, "")="", 0, _xlfn.XLOOKUP(B682, ①オッズ入力!$A$2:$A$19, ①オッズ入力!$D$2:$D$19, 0)), 0)</f>
        <v>1.4887511001265043E-2</v>
      </c>
      <c r="F682">
        <f>IFERROR(IF(_xlfn.XLOOKUP(C682, ①オッズ入力!$A$2:$A$19, ①オッズ入力!$D$2:$D$19, "")="", 0, _xlfn.XLOOKUP(C682, ①オッズ入力!$A$2:$A$19, ①オッズ入力!$D$2:$D$19, 0)), 0)</f>
        <v>8.5478532064679671E-3</v>
      </c>
      <c r="G682">
        <f t="shared" si="20"/>
        <v>329897.30761254183</v>
      </c>
      <c r="H682">
        <f>IF(G682="", 0, IF(OR(A682=③資金配分!$D$1, A682=③資金配分!$D$2, B682=③資金配分!$D$1, B682=③資金配分!$D$2, C682=③資金配分!$D$1, C682=③資金配分!$D$2), 0, IF(OR(A682=③資金配分!$D$4, A682=③資金配分!$D$5, A682=③資金配分!$D$6, B682=③資金配分!$D$4, B682=③資金配分!$D$5, B682=③資金配分!$D$6, C682=③資金配分!$D$4, C682=③資金配分!$D$5, C682=③資金配分!$D$6), 0, IF(AND(③資金配分!$B$8&gt;0, G682&lt;=③資金配分!$B$8), 1, 0))))</f>
        <v>0</v>
      </c>
      <c r="I682">
        <f t="shared" si="21"/>
        <v>0</v>
      </c>
      <c r="J682">
        <f>IF(I682&gt;0, ROUND((I682 / SUM($I$2:$I$817)) * ③資金配分!$B$7, -2), 0)</f>
        <v>0</v>
      </c>
    </row>
    <row r="683" spans="1:10" x14ac:dyDescent="0.4">
      <c r="A683">
        <v>8</v>
      </c>
      <c r="B683">
        <v>13</v>
      </c>
      <c r="C683">
        <v>14</v>
      </c>
      <c r="D683">
        <f>IFERROR(IF(_xlfn.XLOOKUP(A683, ①オッズ入力!$A$2:$A$19, ①オッズ入力!$D$2:$D$19, "")="", 0, _xlfn.XLOOKUP(A683, ①オッズ入力!$A$2:$A$19, ①オッズ入力!$D$2:$D$19, 0)), 0)</f>
        <v>2.3820017602024068E-2</v>
      </c>
      <c r="E683">
        <f>IFERROR(IF(_xlfn.XLOOKUP(B683, ①オッズ入力!$A$2:$A$19, ①オッズ入力!$D$2:$D$19, "")="", 0, _xlfn.XLOOKUP(B683, ①オッズ入力!$A$2:$A$19, ①オッズ入力!$D$2:$D$19, 0)), 0)</f>
        <v>1.2760723715370036E-2</v>
      </c>
      <c r="F683">
        <f>IFERROR(IF(_xlfn.XLOOKUP(C683, ①オッズ入力!$A$2:$A$19, ①オッズ入力!$D$2:$D$19, "")="", 0, _xlfn.XLOOKUP(C683, ①オッズ入力!$A$2:$A$19, ①オッズ入力!$D$2:$D$19, 0)), 0)</f>
        <v>1.1525814968721322E-2</v>
      </c>
      <c r="G683">
        <f t="shared" si="20"/>
        <v>285437.46312568412</v>
      </c>
      <c r="H683">
        <f>IF(G683="", 0, IF(OR(A683=③資金配分!$D$1, A683=③資金配分!$D$2, B683=③資金配分!$D$1, B683=③資金配分!$D$2, C683=③資金配分!$D$1, C683=③資金配分!$D$2), 0, IF(OR(A683=③資金配分!$D$4, A683=③資金配分!$D$5, A683=③資金配分!$D$6, B683=③資金配分!$D$4, B683=③資金配分!$D$5, B683=③資金配分!$D$6, C683=③資金配分!$D$4, C683=③資金配分!$D$5, C683=③資金配分!$D$6), 0, IF(AND(③資金配分!$B$8&gt;0, G683&lt;=③資金配分!$B$8), 1, 0))))</f>
        <v>0</v>
      </c>
      <c r="I683">
        <f t="shared" si="21"/>
        <v>0</v>
      </c>
      <c r="J683">
        <f>IF(I683&gt;0, ROUND((I683 / SUM($I$2:$I$817)) * ③資金配分!$B$7, -2), 0)</f>
        <v>0</v>
      </c>
    </row>
    <row r="684" spans="1:10" x14ac:dyDescent="0.4">
      <c r="A684">
        <v>8</v>
      </c>
      <c r="B684">
        <v>13</v>
      </c>
      <c r="C684">
        <v>15</v>
      </c>
      <c r="D684">
        <f>IFERROR(IF(_xlfn.XLOOKUP(A684, ①オッズ入力!$A$2:$A$19, ①オッズ入力!$D$2:$D$19, "")="", 0, _xlfn.XLOOKUP(A684, ①オッズ入力!$A$2:$A$19, ①オッズ入力!$D$2:$D$19, 0)), 0)</f>
        <v>2.3820017602024068E-2</v>
      </c>
      <c r="E684">
        <f>IFERROR(IF(_xlfn.XLOOKUP(B684, ①オッズ入力!$A$2:$A$19, ①オッズ入力!$D$2:$D$19, "")="", 0, _xlfn.XLOOKUP(B684, ①オッズ入力!$A$2:$A$19, ①オッズ入力!$D$2:$D$19, 0)), 0)</f>
        <v>1.2760723715370036E-2</v>
      </c>
      <c r="F684">
        <f>IFERROR(IF(_xlfn.XLOOKUP(C684, ①オッズ入力!$A$2:$A$19, ①オッズ入力!$D$2:$D$19, "")="", 0, _xlfn.XLOOKUP(C684, ①オッズ入力!$A$2:$A$19, ①オッズ入力!$D$2:$D$19, 0)), 0)</f>
        <v>1.0697612695519792E-2</v>
      </c>
      <c r="G684">
        <f t="shared" si="20"/>
        <v>307535.8473676726</v>
      </c>
      <c r="H684">
        <f>IF(G684="", 0, IF(OR(A684=③資金配分!$D$1, A684=③資金配分!$D$2, B684=③資金配分!$D$1, B684=③資金配分!$D$2, C684=③資金配分!$D$1, C684=③資金配分!$D$2), 0, IF(OR(A684=③資金配分!$D$4, A684=③資金配分!$D$5, A684=③資金配分!$D$6, B684=③資金配分!$D$4, B684=③資金配分!$D$5, B684=③資金配分!$D$6, C684=③資金配分!$D$4, C684=③資金配分!$D$5, C684=③資金配分!$D$6), 0, IF(AND(③資金配分!$B$8&gt;0, G684&lt;=③資金配分!$B$8), 1, 0))))</f>
        <v>0</v>
      </c>
      <c r="I684">
        <f t="shared" si="21"/>
        <v>0</v>
      </c>
      <c r="J684">
        <f>IF(I684&gt;0, ROUND((I684 / SUM($I$2:$I$817)) * ③資金配分!$B$7, -2), 0)</f>
        <v>0</v>
      </c>
    </row>
    <row r="685" spans="1:10" x14ac:dyDescent="0.4">
      <c r="A685">
        <v>8</v>
      </c>
      <c r="B685">
        <v>13</v>
      </c>
      <c r="C685">
        <v>16</v>
      </c>
      <c r="D685">
        <f>IFERROR(IF(_xlfn.XLOOKUP(A685, ①オッズ入力!$A$2:$A$19, ①オッズ入力!$D$2:$D$19, "")="", 0, _xlfn.XLOOKUP(A685, ①オッズ入力!$A$2:$A$19, ①オッズ入力!$D$2:$D$19, 0)), 0)</f>
        <v>2.3820017602024068E-2</v>
      </c>
      <c r="E685">
        <f>IFERROR(IF(_xlfn.XLOOKUP(B685, ①オッズ入力!$A$2:$A$19, ①オッズ入力!$D$2:$D$19, "")="", 0, _xlfn.XLOOKUP(B685, ①オッズ入力!$A$2:$A$19, ①オッズ入力!$D$2:$D$19, 0)), 0)</f>
        <v>1.2760723715370036E-2</v>
      </c>
      <c r="F685">
        <f>IFERROR(IF(_xlfn.XLOOKUP(C685, ①オッズ入力!$A$2:$A$19, ①オッズ入力!$D$2:$D$19, "")="", 0, _xlfn.XLOOKUP(C685, ①オッズ入力!$A$2:$A$19, ①オッズ入力!$D$2:$D$19, 0)), 0)</f>
        <v>9.8701730395127345E-3</v>
      </c>
      <c r="G685">
        <f t="shared" si="20"/>
        <v>333317.29564999248</v>
      </c>
      <c r="H685">
        <f>IF(G685="", 0, IF(OR(A685=③資金配分!$D$1, A685=③資金配分!$D$2, B685=③資金配分!$D$1, B685=③資金配分!$D$2, C685=③資金配分!$D$1, C685=③資金配分!$D$2), 0, IF(OR(A685=③資金配分!$D$4, A685=③資金配分!$D$5, A685=③資金配分!$D$6, B685=③資金配分!$D$4, B685=③資金配分!$D$5, B685=③資金配分!$D$6, C685=③資金配分!$D$4, C685=③資金配分!$D$5, C685=③資金配分!$D$6), 0, IF(AND(③資金配分!$B$8&gt;0, G685&lt;=③資金配分!$B$8), 1, 0))))</f>
        <v>0</v>
      </c>
      <c r="I685">
        <f t="shared" si="21"/>
        <v>0</v>
      </c>
      <c r="J685">
        <f>IF(I685&gt;0, ROUND((I685 / SUM($I$2:$I$817)) * ③資金配分!$B$7, -2), 0)</f>
        <v>0</v>
      </c>
    </row>
    <row r="686" spans="1:10" x14ac:dyDescent="0.4">
      <c r="A686">
        <v>8</v>
      </c>
      <c r="B686">
        <v>13</v>
      </c>
      <c r="C686">
        <v>17</v>
      </c>
      <c r="D686">
        <f>IFERROR(IF(_xlfn.XLOOKUP(A686, ①オッズ入力!$A$2:$A$19, ①オッズ入力!$D$2:$D$19, "")="", 0, _xlfn.XLOOKUP(A686, ①オッズ入力!$A$2:$A$19, ①オッズ入力!$D$2:$D$19, 0)), 0)</f>
        <v>2.3820017602024068E-2</v>
      </c>
      <c r="E686">
        <f>IFERROR(IF(_xlfn.XLOOKUP(B686, ①オッズ入力!$A$2:$A$19, ①オッズ入力!$D$2:$D$19, "")="", 0, _xlfn.XLOOKUP(B686, ①オッズ入力!$A$2:$A$19, ①オッズ入力!$D$2:$D$19, 0)), 0)</f>
        <v>1.2760723715370036E-2</v>
      </c>
      <c r="F686">
        <f>IFERROR(IF(_xlfn.XLOOKUP(C686, ①オッズ入力!$A$2:$A$19, ①オッズ入力!$D$2:$D$19, "")="", 0, _xlfn.XLOOKUP(C686, ①オッズ入力!$A$2:$A$19, ①オッズ入力!$D$2:$D$19, 0)), 0)</f>
        <v>9.1615452315477186E-3</v>
      </c>
      <c r="G686">
        <f t="shared" si="20"/>
        <v>359098.74393231235</v>
      </c>
      <c r="H686">
        <f>IF(G686="", 0, IF(OR(A686=③資金配分!$D$1, A686=③資金配分!$D$2, B686=③資金配分!$D$1, B686=③資金配分!$D$2, C686=③資金配分!$D$1, C686=③資金配分!$D$2), 0, IF(OR(A686=③資金配分!$D$4, A686=③資金配分!$D$5, A686=③資金配分!$D$6, B686=③資金配分!$D$4, B686=③資金配分!$D$5, B686=③資金配分!$D$6, C686=③資金配分!$D$4, C686=③資金配分!$D$5, C686=③資金配分!$D$6), 0, IF(AND(③資金配分!$B$8&gt;0, G686&lt;=③資金配分!$B$8), 1, 0))))</f>
        <v>0</v>
      </c>
      <c r="I686">
        <f t="shared" si="21"/>
        <v>0</v>
      </c>
      <c r="J686">
        <f>IF(I686&gt;0, ROUND((I686 / SUM($I$2:$I$817)) * ③資金配分!$B$7, -2), 0)</f>
        <v>0</v>
      </c>
    </row>
    <row r="687" spans="1:10" x14ac:dyDescent="0.4">
      <c r="A687">
        <v>8</v>
      </c>
      <c r="B687">
        <v>13</v>
      </c>
      <c r="C687">
        <v>18</v>
      </c>
      <c r="D687">
        <f>IFERROR(IF(_xlfn.XLOOKUP(A687, ①オッズ入力!$A$2:$A$19, ①オッズ入力!$D$2:$D$19, "")="", 0, _xlfn.XLOOKUP(A687, ①オッズ入力!$A$2:$A$19, ①オッズ入力!$D$2:$D$19, 0)), 0)</f>
        <v>2.3820017602024068E-2</v>
      </c>
      <c r="E687">
        <f>IFERROR(IF(_xlfn.XLOOKUP(B687, ①オッズ入力!$A$2:$A$19, ①オッズ入力!$D$2:$D$19, "")="", 0, _xlfn.XLOOKUP(B687, ①オッズ入力!$A$2:$A$19, ①オッズ入力!$D$2:$D$19, 0)), 0)</f>
        <v>1.2760723715370036E-2</v>
      </c>
      <c r="F687">
        <f>IFERROR(IF(_xlfn.XLOOKUP(C687, ①オッズ入力!$A$2:$A$19, ①オッズ入力!$D$2:$D$19, "")="", 0, _xlfn.XLOOKUP(C687, ①オッズ入力!$A$2:$A$19, ①オッズ入力!$D$2:$D$19, 0)), 0)</f>
        <v>8.5478532064679671E-3</v>
      </c>
      <c r="G687">
        <f t="shared" si="20"/>
        <v>384880.19221463217</v>
      </c>
      <c r="H687">
        <f>IF(G687="", 0, IF(OR(A687=③資金配分!$D$1, A687=③資金配分!$D$2, B687=③資金配分!$D$1, B687=③資金配分!$D$2, C687=③資金配分!$D$1, C687=③資金配分!$D$2), 0, IF(OR(A687=③資金配分!$D$4, A687=③資金配分!$D$5, A687=③資金配分!$D$6, B687=③資金配分!$D$4, B687=③資金配分!$D$5, B687=③資金配分!$D$6, C687=③資金配分!$D$4, C687=③資金配分!$D$5, C687=③資金配分!$D$6), 0, IF(AND(③資金配分!$B$8&gt;0, G687&lt;=③資金配分!$B$8), 1, 0))))</f>
        <v>0</v>
      </c>
      <c r="I687">
        <f t="shared" si="21"/>
        <v>0</v>
      </c>
      <c r="J687">
        <f>IF(I687&gt;0, ROUND((I687 / SUM($I$2:$I$817)) * ③資金配分!$B$7, -2), 0)</f>
        <v>0</v>
      </c>
    </row>
    <row r="688" spans="1:10" x14ac:dyDescent="0.4">
      <c r="A688">
        <v>8</v>
      </c>
      <c r="B688">
        <v>14</v>
      </c>
      <c r="C688">
        <v>15</v>
      </c>
      <c r="D688">
        <f>IFERROR(IF(_xlfn.XLOOKUP(A688, ①オッズ入力!$A$2:$A$19, ①オッズ入力!$D$2:$D$19, "")="", 0, _xlfn.XLOOKUP(A688, ①オッズ入力!$A$2:$A$19, ①オッズ入力!$D$2:$D$19, 0)), 0)</f>
        <v>2.3820017602024068E-2</v>
      </c>
      <c r="E688">
        <f>IFERROR(IF(_xlfn.XLOOKUP(B688, ①オッズ入力!$A$2:$A$19, ①オッズ入力!$D$2:$D$19, "")="", 0, _xlfn.XLOOKUP(B688, ①オッズ入力!$A$2:$A$19, ①オッズ入力!$D$2:$D$19, 0)), 0)</f>
        <v>1.1525814968721322E-2</v>
      </c>
      <c r="F688">
        <f>IFERROR(IF(_xlfn.XLOOKUP(C688, ①オッズ入力!$A$2:$A$19, ①オッズ入力!$D$2:$D$19, "")="", 0, _xlfn.XLOOKUP(C688, ①オッズ入力!$A$2:$A$19, ①オッズ入力!$D$2:$D$19, 0)), 0)</f>
        <v>1.0697612695519792E-2</v>
      </c>
      <c r="G688">
        <f t="shared" si="20"/>
        <v>340486.11672849464</v>
      </c>
      <c r="H688">
        <f>IF(G688="", 0, IF(OR(A688=③資金配分!$D$1, A688=③資金配分!$D$2, B688=③資金配分!$D$1, B688=③資金配分!$D$2, C688=③資金配分!$D$1, C688=③資金配分!$D$2), 0, IF(OR(A688=③資金配分!$D$4, A688=③資金配分!$D$5, A688=③資金配分!$D$6, B688=③資金配分!$D$4, B688=③資金配分!$D$5, B688=③資金配分!$D$6, C688=③資金配分!$D$4, C688=③資金配分!$D$5, C688=③資金配分!$D$6), 0, IF(AND(③資金配分!$B$8&gt;0, G688&lt;=③資金配分!$B$8), 1, 0))))</f>
        <v>0</v>
      </c>
      <c r="I688">
        <f t="shared" si="21"/>
        <v>0</v>
      </c>
      <c r="J688">
        <f>IF(I688&gt;0, ROUND((I688 / SUM($I$2:$I$817)) * ③資金配分!$B$7, -2), 0)</f>
        <v>0</v>
      </c>
    </row>
    <row r="689" spans="1:10" x14ac:dyDescent="0.4">
      <c r="A689">
        <v>8</v>
      </c>
      <c r="B689">
        <v>14</v>
      </c>
      <c r="C689">
        <v>16</v>
      </c>
      <c r="D689">
        <f>IFERROR(IF(_xlfn.XLOOKUP(A689, ①オッズ入力!$A$2:$A$19, ①オッズ入力!$D$2:$D$19, "")="", 0, _xlfn.XLOOKUP(A689, ①オッズ入力!$A$2:$A$19, ①オッズ入力!$D$2:$D$19, 0)), 0)</f>
        <v>2.3820017602024068E-2</v>
      </c>
      <c r="E689">
        <f>IFERROR(IF(_xlfn.XLOOKUP(B689, ①オッズ入力!$A$2:$A$19, ①オッズ入力!$D$2:$D$19, "")="", 0, _xlfn.XLOOKUP(B689, ①オッズ入力!$A$2:$A$19, ①オッズ入力!$D$2:$D$19, 0)), 0)</f>
        <v>1.1525814968721322E-2</v>
      </c>
      <c r="F689">
        <f>IFERROR(IF(_xlfn.XLOOKUP(C689, ①オッズ入力!$A$2:$A$19, ①オッズ入力!$D$2:$D$19, "")="", 0, _xlfn.XLOOKUP(C689, ①オッズ入力!$A$2:$A$19, ①オッズ入力!$D$2:$D$19, 0)), 0)</f>
        <v>9.8701730395127345E-3</v>
      </c>
      <c r="G689">
        <f t="shared" si="20"/>
        <v>369029.86304106307</v>
      </c>
      <c r="H689">
        <f>IF(G689="", 0, IF(OR(A689=③資金配分!$D$1, A689=③資金配分!$D$2, B689=③資金配分!$D$1, B689=③資金配分!$D$2, C689=③資金配分!$D$1, C689=③資金配分!$D$2), 0, IF(OR(A689=③資金配分!$D$4, A689=③資金配分!$D$5, A689=③資金配分!$D$6, B689=③資金配分!$D$4, B689=③資金配分!$D$5, B689=③資金配分!$D$6, C689=③資金配分!$D$4, C689=③資金配分!$D$5, C689=③資金配分!$D$6), 0, IF(AND(③資金配分!$B$8&gt;0, G689&lt;=③資金配分!$B$8), 1, 0))))</f>
        <v>0</v>
      </c>
      <c r="I689">
        <f t="shared" si="21"/>
        <v>0</v>
      </c>
      <c r="J689">
        <f>IF(I689&gt;0, ROUND((I689 / SUM($I$2:$I$817)) * ③資金配分!$B$7, -2), 0)</f>
        <v>0</v>
      </c>
    </row>
    <row r="690" spans="1:10" x14ac:dyDescent="0.4">
      <c r="A690">
        <v>8</v>
      </c>
      <c r="B690">
        <v>14</v>
      </c>
      <c r="C690">
        <v>17</v>
      </c>
      <c r="D690">
        <f>IFERROR(IF(_xlfn.XLOOKUP(A690, ①オッズ入力!$A$2:$A$19, ①オッズ入力!$D$2:$D$19, "")="", 0, _xlfn.XLOOKUP(A690, ①オッズ入力!$A$2:$A$19, ①オッズ入力!$D$2:$D$19, 0)), 0)</f>
        <v>2.3820017602024068E-2</v>
      </c>
      <c r="E690">
        <f>IFERROR(IF(_xlfn.XLOOKUP(B690, ①オッズ入力!$A$2:$A$19, ①オッズ入力!$D$2:$D$19, "")="", 0, _xlfn.XLOOKUP(B690, ①オッズ入力!$A$2:$A$19, ①オッズ入力!$D$2:$D$19, 0)), 0)</f>
        <v>1.1525814968721322E-2</v>
      </c>
      <c r="F690">
        <f>IFERROR(IF(_xlfn.XLOOKUP(C690, ①オッズ入力!$A$2:$A$19, ①オッズ入力!$D$2:$D$19, "")="", 0, _xlfn.XLOOKUP(C690, ①オッズ入力!$A$2:$A$19, ①オッズ入力!$D$2:$D$19, 0)), 0)</f>
        <v>9.1615452315477186E-3</v>
      </c>
      <c r="G690">
        <f t="shared" si="20"/>
        <v>397573.6093536315</v>
      </c>
      <c r="H690">
        <f>IF(G690="", 0, IF(OR(A690=③資金配分!$D$1, A690=③資金配分!$D$2, B690=③資金配分!$D$1, B690=③資金配分!$D$2, C690=③資金配分!$D$1, C690=③資金配分!$D$2), 0, IF(OR(A690=③資金配分!$D$4, A690=③資金配分!$D$5, A690=③資金配分!$D$6, B690=③資金配分!$D$4, B690=③資金配分!$D$5, B690=③資金配分!$D$6, C690=③資金配分!$D$4, C690=③資金配分!$D$5, C690=③資金配分!$D$6), 0, IF(AND(③資金配分!$B$8&gt;0, G690&lt;=③資金配分!$B$8), 1, 0))))</f>
        <v>0</v>
      </c>
      <c r="I690">
        <f t="shared" si="21"/>
        <v>0</v>
      </c>
      <c r="J690">
        <f>IF(I690&gt;0, ROUND((I690 / SUM($I$2:$I$817)) * ③資金配分!$B$7, -2), 0)</f>
        <v>0</v>
      </c>
    </row>
    <row r="691" spans="1:10" x14ac:dyDescent="0.4">
      <c r="A691">
        <v>8</v>
      </c>
      <c r="B691">
        <v>14</v>
      </c>
      <c r="C691">
        <v>18</v>
      </c>
      <c r="D691">
        <f>IFERROR(IF(_xlfn.XLOOKUP(A691, ①オッズ入力!$A$2:$A$19, ①オッズ入力!$D$2:$D$19, "")="", 0, _xlfn.XLOOKUP(A691, ①オッズ入力!$A$2:$A$19, ①オッズ入力!$D$2:$D$19, 0)), 0)</f>
        <v>2.3820017602024068E-2</v>
      </c>
      <c r="E691">
        <f>IFERROR(IF(_xlfn.XLOOKUP(B691, ①オッズ入力!$A$2:$A$19, ①オッズ入力!$D$2:$D$19, "")="", 0, _xlfn.XLOOKUP(B691, ①オッズ入力!$A$2:$A$19, ①オッズ入力!$D$2:$D$19, 0)), 0)</f>
        <v>1.1525814968721322E-2</v>
      </c>
      <c r="F691">
        <f>IFERROR(IF(_xlfn.XLOOKUP(C691, ①オッズ入力!$A$2:$A$19, ①オッズ入力!$D$2:$D$19, "")="", 0, _xlfn.XLOOKUP(C691, ①オッズ入力!$A$2:$A$19, ①オッズ入力!$D$2:$D$19, 0)), 0)</f>
        <v>8.5478532064679671E-3</v>
      </c>
      <c r="G691">
        <f t="shared" si="20"/>
        <v>426117.35566619993</v>
      </c>
      <c r="H691">
        <f>IF(G691="", 0, IF(OR(A691=③資金配分!$D$1, A691=③資金配分!$D$2, B691=③資金配分!$D$1, B691=③資金配分!$D$2, C691=③資金配分!$D$1, C691=③資金配分!$D$2), 0, IF(OR(A691=③資金配分!$D$4, A691=③資金配分!$D$5, A691=③資金配分!$D$6, B691=③資金配分!$D$4, B691=③資金配分!$D$5, B691=③資金配分!$D$6, C691=③資金配分!$D$4, C691=③資金配分!$D$5, C691=③資金配分!$D$6), 0, IF(AND(③資金配分!$B$8&gt;0, G691&lt;=③資金配分!$B$8), 1, 0))))</f>
        <v>0</v>
      </c>
      <c r="I691">
        <f t="shared" si="21"/>
        <v>0</v>
      </c>
      <c r="J691">
        <f>IF(I691&gt;0, ROUND((I691 / SUM($I$2:$I$817)) * ③資金配分!$B$7, -2), 0)</f>
        <v>0</v>
      </c>
    </row>
    <row r="692" spans="1:10" x14ac:dyDescent="0.4">
      <c r="A692">
        <v>8</v>
      </c>
      <c r="B692">
        <v>15</v>
      </c>
      <c r="C692">
        <v>16</v>
      </c>
      <c r="D692">
        <f>IFERROR(IF(_xlfn.XLOOKUP(A692, ①オッズ入力!$A$2:$A$19, ①オッズ入力!$D$2:$D$19, "")="", 0, _xlfn.XLOOKUP(A692, ①オッズ入力!$A$2:$A$19, ①オッズ入力!$D$2:$D$19, 0)), 0)</f>
        <v>2.3820017602024068E-2</v>
      </c>
      <c r="E692">
        <f>IFERROR(IF(_xlfn.XLOOKUP(B692, ①オッズ入力!$A$2:$A$19, ①オッズ入力!$D$2:$D$19, "")="", 0, _xlfn.XLOOKUP(B692, ①オッズ入力!$A$2:$A$19, ①オッズ入力!$D$2:$D$19, 0)), 0)</f>
        <v>1.0697612695519792E-2</v>
      </c>
      <c r="F692">
        <f>IFERROR(IF(_xlfn.XLOOKUP(C692, ①オッズ入力!$A$2:$A$19, ①オッズ入力!$D$2:$D$19, "")="", 0, _xlfn.XLOOKUP(C692, ①オッズ入力!$A$2:$A$19, ①オッズ入力!$D$2:$D$19, 0)), 0)</f>
        <v>9.8701730395127345E-3</v>
      </c>
      <c r="G692">
        <f t="shared" si="20"/>
        <v>397599.91695391957</v>
      </c>
      <c r="H692">
        <f>IF(G692="", 0, IF(OR(A692=③資金配分!$D$1, A692=③資金配分!$D$2, B692=③資金配分!$D$1, B692=③資金配分!$D$2, C692=③資金配分!$D$1, C692=③資金配分!$D$2), 0, IF(OR(A692=③資金配分!$D$4, A692=③資金配分!$D$5, A692=③資金配分!$D$6, B692=③資金配分!$D$4, B692=③資金配分!$D$5, B692=③資金配分!$D$6, C692=③資金配分!$D$4, C692=③資金配分!$D$5, C692=③資金配分!$D$6), 0, IF(AND(③資金配分!$B$8&gt;0, G692&lt;=③資金配分!$B$8), 1, 0))))</f>
        <v>0</v>
      </c>
      <c r="I692">
        <f t="shared" si="21"/>
        <v>0</v>
      </c>
      <c r="J692">
        <f>IF(I692&gt;0, ROUND((I692 / SUM($I$2:$I$817)) * ③資金配分!$B$7, -2), 0)</f>
        <v>0</v>
      </c>
    </row>
    <row r="693" spans="1:10" x14ac:dyDescent="0.4">
      <c r="A693">
        <v>8</v>
      </c>
      <c r="B693">
        <v>15</v>
      </c>
      <c r="C693">
        <v>17</v>
      </c>
      <c r="D693">
        <f>IFERROR(IF(_xlfn.XLOOKUP(A693, ①オッズ入力!$A$2:$A$19, ①オッズ入力!$D$2:$D$19, "")="", 0, _xlfn.XLOOKUP(A693, ①オッズ入力!$A$2:$A$19, ①オッズ入力!$D$2:$D$19, 0)), 0)</f>
        <v>2.3820017602024068E-2</v>
      </c>
      <c r="E693">
        <f>IFERROR(IF(_xlfn.XLOOKUP(B693, ①オッズ入力!$A$2:$A$19, ①オッズ入力!$D$2:$D$19, "")="", 0, _xlfn.XLOOKUP(B693, ①オッズ入力!$A$2:$A$19, ①オッズ入力!$D$2:$D$19, 0)), 0)</f>
        <v>1.0697612695519792E-2</v>
      </c>
      <c r="F693">
        <f>IFERROR(IF(_xlfn.XLOOKUP(C693, ①オッズ入力!$A$2:$A$19, ①オッズ入力!$D$2:$D$19, "")="", 0, _xlfn.XLOOKUP(C693, ①オッズ入力!$A$2:$A$19, ①オッズ入力!$D$2:$D$19, 0)), 0)</f>
        <v>9.1615452315477186E-3</v>
      </c>
      <c r="G693">
        <f t="shared" si="20"/>
        <v>428353.50169068674</v>
      </c>
      <c r="H693">
        <f>IF(G693="", 0, IF(OR(A693=③資金配分!$D$1, A693=③資金配分!$D$2, B693=③資金配分!$D$1, B693=③資金配分!$D$2, C693=③資金配分!$D$1, C693=③資金配分!$D$2), 0, IF(OR(A693=③資金配分!$D$4, A693=③資金配分!$D$5, A693=③資金配分!$D$6, B693=③資金配分!$D$4, B693=③資金配分!$D$5, B693=③資金配分!$D$6, C693=③資金配分!$D$4, C693=③資金配分!$D$5, C693=③資金配分!$D$6), 0, IF(AND(③資金配分!$B$8&gt;0, G693&lt;=③資金配分!$B$8), 1, 0))))</f>
        <v>0</v>
      </c>
      <c r="I693">
        <f t="shared" si="21"/>
        <v>0</v>
      </c>
      <c r="J693">
        <f>IF(I693&gt;0, ROUND((I693 / SUM($I$2:$I$817)) * ③資金配分!$B$7, -2), 0)</f>
        <v>0</v>
      </c>
    </row>
    <row r="694" spans="1:10" x14ac:dyDescent="0.4">
      <c r="A694">
        <v>8</v>
      </c>
      <c r="B694">
        <v>15</v>
      </c>
      <c r="C694">
        <v>18</v>
      </c>
      <c r="D694">
        <f>IFERROR(IF(_xlfn.XLOOKUP(A694, ①オッズ入力!$A$2:$A$19, ①オッズ入力!$D$2:$D$19, "")="", 0, _xlfn.XLOOKUP(A694, ①オッズ入力!$A$2:$A$19, ①オッズ入力!$D$2:$D$19, 0)), 0)</f>
        <v>2.3820017602024068E-2</v>
      </c>
      <c r="E694">
        <f>IFERROR(IF(_xlfn.XLOOKUP(B694, ①オッズ入力!$A$2:$A$19, ①オッズ入力!$D$2:$D$19, "")="", 0, _xlfn.XLOOKUP(B694, ①オッズ入力!$A$2:$A$19, ①オッズ入力!$D$2:$D$19, 0)), 0)</f>
        <v>1.0697612695519792E-2</v>
      </c>
      <c r="F694">
        <f>IFERROR(IF(_xlfn.XLOOKUP(C694, ①オッズ入力!$A$2:$A$19, ①オッズ入力!$D$2:$D$19, "")="", 0, _xlfn.XLOOKUP(C694, ①オッズ入力!$A$2:$A$19, ①オッズ入力!$D$2:$D$19, 0)), 0)</f>
        <v>8.5478532064679671E-3</v>
      </c>
      <c r="G694">
        <f t="shared" si="20"/>
        <v>459107.08642745402</v>
      </c>
      <c r="H694">
        <f>IF(G694="", 0, IF(OR(A694=③資金配分!$D$1, A694=③資金配分!$D$2, B694=③資金配分!$D$1, B694=③資金配分!$D$2, C694=③資金配分!$D$1, C694=③資金配分!$D$2), 0, IF(OR(A694=③資金配分!$D$4, A694=③資金配分!$D$5, A694=③資金配分!$D$6, B694=③資金配分!$D$4, B694=③資金配分!$D$5, B694=③資金配分!$D$6, C694=③資金配分!$D$4, C694=③資金配分!$D$5, C694=③資金配分!$D$6), 0, IF(AND(③資金配分!$B$8&gt;0, G694&lt;=③資金配分!$B$8), 1, 0))))</f>
        <v>0</v>
      </c>
      <c r="I694">
        <f t="shared" si="21"/>
        <v>0</v>
      </c>
      <c r="J694">
        <f>IF(I694&gt;0, ROUND((I694 / SUM($I$2:$I$817)) * ③資金配分!$B$7, -2), 0)</f>
        <v>0</v>
      </c>
    </row>
    <row r="695" spans="1:10" x14ac:dyDescent="0.4">
      <c r="A695">
        <v>8</v>
      </c>
      <c r="B695">
        <v>16</v>
      </c>
      <c r="C695">
        <v>17</v>
      </c>
      <c r="D695">
        <f>IFERROR(IF(_xlfn.XLOOKUP(A695, ①オッズ入力!$A$2:$A$19, ①オッズ入力!$D$2:$D$19, "")="", 0, _xlfn.XLOOKUP(A695, ①オッズ入力!$A$2:$A$19, ①オッズ入力!$D$2:$D$19, 0)), 0)</f>
        <v>2.3820017602024068E-2</v>
      </c>
      <c r="E695">
        <f>IFERROR(IF(_xlfn.XLOOKUP(B695, ①オッズ入力!$A$2:$A$19, ①オッズ入力!$D$2:$D$19, "")="", 0, _xlfn.XLOOKUP(B695, ①オッズ入力!$A$2:$A$19, ①オッズ入力!$D$2:$D$19, 0)), 0)</f>
        <v>9.8701730395127345E-3</v>
      </c>
      <c r="F695">
        <f>IFERROR(IF(_xlfn.XLOOKUP(C695, ①オッズ入力!$A$2:$A$19, ①オッズ入力!$D$2:$D$19, "")="", 0, _xlfn.XLOOKUP(C695, ①オッズ入力!$A$2:$A$19, ①オッズ入力!$D$2:$D$19, 0)), 0)</f>
        <v>9.1615452315477186E-3</v>
      </c>
      <c r="G695">
        <f t="shared" si="20"/>
        <v>464263.37608391803</v>
      </c>
      <c r="H695">
        <f>IF(G695="", 0, IF(OR(A695=③資金配分!$D$1, A695=③資金配分!$D$2, B695=③資金配分!$D$1, B695=③資金配分!$D$2, C695=③資金配分!$D$1, C695=③資金配分!$D$2), 0, IF(OR(A695=③資金配分!$D$4, A695=③資金配分!$D$5, A695=③資金配分!$D$6, B695=③資金配分!$D$4, B695=③資金配分!$D$5, B695=③資金配分!$D$6, C695=③資金配分!$D$4, C695=③資金配分!$D$5, C695=③資金配分!$D$6), 0, IF(AND(③資金配分!$B$8&gt;0, G695&lt;=③資金配分!$B$8), 1, 0))))</f>
        <v>0</v>
      </c>
      <c r="I695">
        <f t="shared" si="21"/>
        <v>0</v>
      </c>
      <c r="J695">
        <f>IF(I695&gt;0, ROUND((I695 / SUM($I$2:$I$817)) * ③資金配分!$B$7, -2), 0)</f>
        <v>0</v>
      </c>
    </row>
    <row r="696" spans="1:10" x14ac:dyDescent="0.4">
      <c r="A696">
        <v>8</v>
      </c>
      <c r="B696">
        <v>16</v>
      </c>
      <c r="C696">
        <v>18</v>
      </c>
      <c r="D696">
        <f>IFERROR(IF(_xlfn.XLOOKUP(A696, ①オッズ入力!$A$2:$A$19, ①オッズ入力!$D$2:$D$19, "")="", 0, _xlfn.XLOOKUP(A696, ①オッズ入力!$A$2:$A$19, ①オッズ入力!$D$2:$D$19, 0)), 0)</f>
        <v>2.3820017602024068E-2</v>
      </c>
      <c r="E696">
        <f>IFERROR(IF(_xlfn.XLOOKUP(B696, ①オッズ入力!$A$2:$A$19, ①オッズ入力!$D$2:$D$19, "")="", 0, _xlfn.XLOOKUP(B696, ①オッズ入力!$A$2:$A$19, ①オッズ入力!$D$2:$D$19, 0)), 0)</f>
        <v>9.8701730395127345E-3</v>
      </c>
      <c r="F696">
        <f>IFERROR(IF(_xlfn.XLOOKUP(C696, ①オッズ入力!$A$2:$A$19, ①オッズ入力!$D$2:$D$19, "")="", 0, _xlfn.XLOOKUP(C696, ①オッズ入力!$A$2:$A$19, ①オッズ入力!$D$2:$D$19, 0)), 0)</f>
        <v>8.5478532064679671E-3</v>
      </c>
      <c r="G696">
        <f t="shared" si="20"/>
        <v>497595.10564891732</v>
      </c>
      <c r="H696">
        <f>IF(G696="", 0, IF(OR(A696=③資金配分!$D$1, A696=③資金配分!$D$2, B696=③資金配分!$D$1, B696=③資金配分!$D$2, C696=③資金配分!$D$1, C696=③資金配分!$D$2), 0, IF(OR(A696=③資金配分!$D$4, A696=③資金配分!$D$5, A696=③資金配分!$D$6, B696=③資金配分!$D$4, B696=③資金配分!$D$5, B696=③資金配分!$D$6, C696=③資金配分!$D$4, C696=③資金配分!$D$5, C696=③資金配分!$D$6), 0, IF(AND(③資金配分!$B$8&gt;0, G696&lt;=③資金配分!$B$8), 1, 0))))</f>
        <v>0</v>
      </c>
      <c r="I696">
        <f t="shared" si="21"/>
        <v>0</v>
      </c>
      <c r="J696">
        <f>IF(I696&gt;0, ROUND((I696 / SUM($I$2:$I$817)) * ③資金配分!$B$7, -2), 0)</f>
        <v>0</v>
      </c>
    </row>
    <row r="697" spans="1:10" x14ac:dyDescent="0.4">
      <c r="A697">
        <v>8</v>
      </c>
      <c r="B697">
        <v>17</v>
      </c>
      <c r="C697">
        <v>18</v>
      </c>
      <c r="D697">
        <f>IFERROR(IF(_xlfn.XLOOKUP(A697, ①オッズ入力!$A$2:$A$19, ①オッズ入力!$D$2:$D$19, "")="", 0, _xlfn.XLOOKUP(A697, ①オッズ入力!$A$2:$A$19, ①オッズ入力!$D$2:$D$19, 0)), 0)</f>
        <v>2.3820017602024068E-2</v>
      </c>
      <c r="E697">
        <f>IFERROR(IF(_xlfn.XLOOKUP(B697, ①オッズ入力!$A$2:$A$19, ①オッズ入力!$D$2:$D$19, "")="", 0, _xlfn.XLOOKUP(B697, ①オッズ入力!$A$2:$A$19, ①オッズ入力!$D$2:$D$19, 0)), 0)</f>
        <v>9.1615452315477186E-3</v>
      </c>
      <c r="F697">
        <f>IFERROR(IF(_xlfn.XLOOKUP(C697, ①オッズ入力!$A$2:$A$19, ①オッズ入力!$D$2:$D$19, "")="", 0, _xlfn.XLOOKUP(C697, ①オッズ入力!$A$2:$A$19, ①オッズ入力!$D$2:$D$19, 0)), 0)</f>
        <v>8.5478532064679671E-3</v>
      </c>
      <c r="G697">
        <f t="shared" si="20"/>
        <v>536083.1248703805</v>
      </c>
      <c r="H697">
        <f>IF(G697="", 0, IF(OR(A697=③資金配分!$D$1, A697=③資金配分!$D$2, B697=③資金配分!$D$1, B697=③資金配分!$D$2, C697=③資金配分!$D$1, C697=③資金配分!$D$2), 0, IF(OR(A697=③資金配分!$D$4, A697=③資金配分!$D$5, A697=③資金配分!$D$6, B697=③資金配分!$D$4, B697=③資金配分!$D$5, B697=③資金配分!$D$6, C697=③資金配分!$D$4, C697=③資金配分!$D$5, C697=③資金配分!$D$6), 0, IF(AND(③資金配分!$B$8&gt;0, G697&lt;=③資金配分!$B$8), 1, 0))))</f>
        <v>0</v>
      </c>
      <c r="I697">
        <f t="shared" si="21"/>
        <v>0</v>
      </c>
      <c r="J697">
        <f>IF(I697&gt;0, ROUND((I697 / SUM($I$2:$I$817)) * ③資金配分!$B$7, -2), 0)</f>
        <v>0</v>
      </c>
    </row>
    <row r="698" spans="1:10" x14ac:dyDescent="0.4">
      <c r="A698">
        <v>9</v>
      </c>
      <c r="B698">
        <v>10</v>
      </c>
      <c r="C698">
        <v>11</v>
      </c>
      <c r="D698">
        <f>IFERROR(IF(_xlfn.XLOOKUP(A698, ①オッズ入力!$A$2:$A$19, ①オッズ入力!$D$2:$D$19, "")="", 0, _xlfn.XLOOKUP(A698, ①オッズ入力!$A$2:$A$19, ①オッズ入力!$D$2:$D$19, 0)), 0)</f>
        <v>1.9850014668353389E-2</v>
      </c>
      <c r="E698">
        <f>IFERROR(IF(_xlfn.XLOOKUP(B698, ①オッズ入力!$A$2:$A$19, ①オッズ入力!$D$2:$D$19, "")="", 0, _xlfn.XLOOKUP(B698, ①オッズ入力!$A$2:$A$19, ①オッズ入力!$D$2:$D$19, 0)), 0)</f>
        <v>1.7865013201518051E-2</v>
      </c>
      <c r="F698">
        <f>IFERROR(IF(_xlfn.XLOOKUP(C698, ①オッズ入力!$A$2:$A$19, ①オッズ入力!$D$2:$D$19, "")="", 0, _xlfn.XLOOKUP(C698, ①オッズ入力!$A$2:$A$19, ①オッズ入力!$D$2:$D$19, 0)), 0)</f>
        <v>1.6240921092289137E-2</v>
      </c>
      <c r="G698">
        <f t="shared" si="20"/>
        <v>173630.16190133779</v>
      </c>
      <c r="H698">
        <f>IF(G698="", 0, IF(OR(A698=③資金配分!$D$1, A698=③資金配分!$D$2, B698=③資金配分!$D$1, B698=③資金配分!$D$2, C698=③資金配分!$D$1, C698=③資金配分!$D$2), 0, IF(OR(A698=③資金配分!$D$4, A698=③資金配分!$D$5, A698=③資金配分!$D$6, B698=③資金配分!$D$4, B698=③資金配分!$D$5, B698=③資金配分!$D$6, C698=③資金配分!$D$4, C698=③資金配分!$D$5, C698=③資金配分!$D$6), 0, IF(AND(③資金配分!$B$8&gt;0, G698&lt;=③資金配分!$B$8), 1, 0))))</f>
        <v>0</v>
      </c>
      <c r="I698">
        <f t="shared" si="21"/>
        <v>0</v>
      </c>
      <c r="J698">
        <f>IF(I698&gt;0, ROUND((I698 / SUM($I$2:$I$817)) * ③資金配分!$B$7, -2), 0)</f>
        <v>0</v>
      </c>
    </row>
    <row r="699" spans="1:10" x14ac:dyDescent="0.4">
      <c r="A699">
        <v>9</v>
      </c>
      <c r="B699">
        <v>10</v>
      </c>
      <c r="C699">
        <v>12</v>
      </c>
      <c r="D699">
        <f>IFERROR(IF(_xlfn.XLOOKUP(A699, ①オッズ入力!$A$2:$A$19, ①オッズ入力!$D$2:$D$19, "")="", 0, _xlfn.XLOOKUP(A699, ①オッズ入力!$A$2:$A$19, ①オッズ入力!$D$2:$D$19, 0)), 0)</f>
        <v>1.9850014668353389E-2</v>
      </c>
      <c r="E699">
        <f>IFERROR(IF(_xlfn.XLOOKUP(B699, ①オッズ入力!$A$2:$A$19, ①オッズ入力!$D$2:$D$19, "")="", 0, _xlfn.XLOOKUP(B699, ①オッズ入力!$A$2:$A$19, ①オッズ入力!$D$2:$D$19, 0)), 0)</f>
        <v>1.7865013201518051E-2</v>
      </c>
      <c r="F699">
        <f>IFERROR(IF(_xlfn.XLOOKUP(C699, ①オッズ入力!$A$2:$A$19, ①オッズ入力!$D$2:$D$19, "")="", 0, _xlfn.XLOOKUP(C699, ①オッズ入力!$A$2:$A$19, ①オッズ入力!$D$2:$D$19, 0)), 0)</f>
        <v>1.4887511001265043E-2</v>
      </c>
      <c r="G699">
        <f t="shared" si="20"/>
        <v>189414.72207418669</v>
      </c>
      <c r="H699">
        <f>IF(G699="", 0, IF(OR(A699=③資金配分!$D$1, A699=③資金配分!$D$2, B699=③資金配分!$D$1, B699=③資金配分!$D$2, C699=③資金配分!$D$1, C699=③資金配分!$D$2), 0, IF(OR(A699=③資金配分!$D$4, A699=③資金配分!$D$5, A699=③資金配分!$D$6, B699=③資金配分!$D$4, B699=③資金配分!$D$5, B699=③資金配分!$D$6, C699=③資金配分!$D$4, C699=③資金配分!$D$5, C699=③資金配分!$D$6), 0, IF(AND(③資金配分!$B$8&gt;0, G699&lt;=③資金配分!$B$8), 1, 0))))</f>
        <v>0</v>
      </c>
      <c r="I699">
        <f t="shared" si="21"/>
        <v>0</v>
      </c>
      <c r="J699">
        <f>IF(I699&gt;0, ROUND((I699 / SUM($I$2:$I$817)) * ③資金配分!$B$7, -2), 0)</f>
        <v>0</v>
      </c>
    </row>
    <row r="700" spans="1:10" x14ac:dyDescent="0.4">
      <c r="A700">
        <v>9</v>
      </c>
      <c r="B700">
        <v>10</v>
      </c>
      <c r="C700">
        <v>13</v>
      </c>
      <c r="D700">
        <f>IFERROR(IF(_xlfn.XLOOKUP(A700, ①オッズ入力!$A$2:$A$19, ①オッズ入力!$D$2:$D$19, "")="", 0, _xlfn.XLOOKUP(A700, ①オッズ入力!$A$2:$A$19, ①オッズ入力!$D$2:$D$19, 0)), 0)</f>
        <v>1.9850014668353389E-2</v>
      </c>
      <c r="E700">
        <f>IFERROR(IF(_xlfn.XLOOKUP(B700, ①オッズ入力!$A$2:$A$19, ①オッズ入力!$D$2:$D$19, "")="", 0, _xlfn.XLOOKUP(B700, ①オッズ入力!$A$2:$A$19, ①オッズ入力!$D$2:$D$19, 0)), 0)</f>
        <v>1.7865013201518051E-2</v>
      </c>
      <c r="F700">
        <f>IFERROR(IF(_xlfn.XLOOKUP(C700, ①オッズ入力!$A$2:$A$19, ①オッズ入力!$D$2:$D$19, "")="", 0, _xlfn.XLOOKUP(C700, ①オッズ入力!$A$2:$A$19, ①オッズ入力!$D$2:$D$19, 0)), 0)</f>
        <v>1.2760723715370036E-2</v>
      </c>
      <c r="G700">
        <f t="shared" si="20"/>
        <v>220983.84241988452</v>
      </c>
      <c r="H700">
        <f>IF(G700="", 0, IF(OR(A700=③資金配分!$D$1, A700=③資金配分!$D$2, B700=③資金配分!$D$1, B700=③資金配分!$D$2, C700=③資金配分!$D$1, C700=③資金配分!$D$2), 0, IF(OR(A700=③資金配分!$D$4, A700=③資金配分!$D$5, A700=③資金配分!$D$6, B700=③資金配分!$D$4, B700=③資金配分!$D$5, B700=③資金配分!$D$6, C700=③資金配分!$D$4, C700=③資金配分!$D$5, C700=③資金配分!$D$6), 0, IF(AND(③資金配分!$B$8&gt;0, G700&lt;=③資金配分!$B$8), 1, 0))))</f>
        <v>0</v>
      </c>
      <c r="I700">
        <f t="shared" si="21"/>
        <v>0</v>
      </c>
      <c r="J700">
        <f>IF(I700&gt;0, ROUND((I700 / SUM($I$2:$I$817)) * ③資金配分!$B$7, -2), 0)</f>
        <v>0</v>
      </c>
    </row>
    <row r="701" spans="1:10" x14ac:dyDescent="0.4">
      <c r="A701">
        <v>9</v>
      </c>
      <c r="B701">
        <v>10</v>
      </c>
      <c r="C701">
        <v>14</v>
      </c>
      <c r="D701">
        <f>IFERROR(IF(_xlfn.XLOOKUP(A701, ①オッズ入力!$A$2:$A$19, ①オッズ入力!$D$2:$D$19, "")="", 0, _xlfn.XLOOKUP(A701, ①オッズ入力!$A$2:$A$19, ①オッズ入力!$D$2:$D$19, 0)), 0)</f>
        <v>1.9850014668353389E-2</v>
      </c>
      <c r="E701">
        <f>IFERROR(IF(_xlfn.XLOOKUP(B701, ①オッズ入力!$A$2:$A$19, ①オッズ入力!$D$2:$D$19, "")="", 0, _xlfn.XLOOKUP(B701, ①オッズ入力!$A$2:$A$19, ①オッズ入力!$D$2:$D$19, 0)), 0)</f>
        <v>1.7865013201518051E-2</v>
      </c>
      <c r="F701">
        <f>IFERROR(IF(_xlfn.XLOOKUP(C701, ①オッズ入力!$A$2:$A$19, ①オッズ入力!$D$2:$D$19, "")="", 0, _xlfn.XLOOKUP(C701, ①オッズ入力!$A$2:$A$19, ①オッズ入力!$D$2:$D$19, 0)), 0)</f>
        <v>1.1525814968721322E-2</v>
      </c>
      <c r="G701">
        <f t="shared" si="20"/>
        <v>244660.68267915785</v>
      </c>
      <c r="H701">
        <f>IF(G701="", 0, IF(OR(A701=③資金配分!$D$1, A701=③資金配分!$D$2, B701=③資金配分!$D$1, B701=③資金配分!$D$2, C701=③資金配分!$D$1, C701=③資金配分!$D$2), 0, IF(OR(A701=③資金配分!$D$4, A701=③資金配分!$D$5, A701=③資金配分!$D$6, B701=③資金配分!$D$4, B701=③資金配分!$D$5, B701=③資金配分!$D$6, C701=③資金配分!$D$4, C701=③資金配分!$D$5, C701=③資金配分!$D$6), 0, IF(AND(③資金配分!$B$8&gt;0, G701&lt;=③資金配分!$B$8), 1, 0))))</f>
        <v>0</v>
      </c>
      <c r="I701">
        <f t="shared" si="21"/>
        <v>0</v>
      </c>
      <c r="J701">
        <f>IF(I701&gt;0, ROUND((I701 / SUM($I$2:$I$817)) * ③資金配分!$B$7, -2), 0)</f>
        <v>0</v>
      </c>
    </row>
    <row r="702" spans="1:10" x14ac:dyDescent="0.4">
      <c r="A702">
        <v>9</v>
      </c>
      <c r="B702">
        <v>10</v>
      </c>
      <c r="C702">
        <v>15</v>
      </c>
      <c r="D702">
        <f>IFERROR(IF(_xlfn.XLOOKUP(A702, ①オッズ入力!$A$2:$A$19, ①オッズ入力!$D$2:$D$19, "")="", 0, _xlfn.XLOOKUP(A702, ①オッズ入力!$A$2:$A$19, ①オッズ入力!$D$2:$D$19, 0)), 0)</f>
        <v>1.9850014668353389E-2</v>
      </c>
      <c r="E702">
        <f>IFERROR(IF(_xlfn.XLOOKUP(B702, ①オッズ入力!$A$2:$A$19, ①オッズ入力!$D$2:$D$19, "")="", 0, _xlfn.XLOOKUP(B702, ①オッズ入力!$A$2:$A$19, ①オッズ入力!$D$2:$D$19, 0)), 0)</f>
        <v>1.7865013201518051E-2</v>
      </c>
      <c r="F702">
        <f>IFERROR(IF(_xlfn.XLOOKUP(C702, ①オッズ入力!$A$2:$A$19, ①オッズ入力!$D$2:$D$19, "")="", 0, _xlfn.XLOOKUP(C702, ①オッズ入力!$A$2:$A$19, ①オッズ入力!$D$2:$D$19, 0)), 0)</f>
        <v>1.0697612695519792E-2</v>
      </c>
      <c r="G702">
        <f t="shared" si="20"/>
        <v>263602.15488657646</v>
      </c>
      <c r="H702">
        <f>IF(G702="", 0, IF(OR(A702=③資金配分!$D$1, A702=③資金配分!$D$2, B702=③資金配分!$D$1, B702=③資金配分!$D$2, C702=③資金配分!$D$1, C702=③資金配分!$D$2), 0, IF(OR(A702=③資金配分!$D$4, A702=③資金配分!$D$5, A702=③資金配分!$D$6, B702=③資金配分!$D$4, B702=③資金配分!$D$5, B702=③資金配分!$D$6, C702=③資金配分!$D$4, C702=③資金配分!$D$5, C702=③資金配分!$D$6), 0, IF(AND(③資金配分!$B$8&gt;0, G702&lt;=③資金配分!$B$8), 1, 0))))</f>
        <v>0</v>
      </c>
      <c r="I702">
        <f t="shared" si="21"/>
        <v>0</v>
      </c>
      <c r="J702">
        <f>IF(I702&gt;0, ROUND((I702 / SUM($I$2:$I$817)) * ③資金配分!$B$7, -2), 0)</f>
        <v>0</v>
      </c>
    </row>
    <row r="703" spans="1:10" x14ac:dyDescent="0.4">
      <c r="A703">
        <v>9</v>
      </c>
      <c r="B703">
        <v>10</v>
      </c>
      <c r="C703">
        <v>16</v>
      </c>
      <c r="D703">
        <f>IFERROR(IF(_xlfn.XLOOKUP(A703, ①オッズ入力!$A$2:$A$19, ①オッズ入力!$D$2:$D$19, "")="", 0, _xlfn.XLOOKUP(A703, ①オッズ入力!$A$2:$A$19, ①オッズ入力!$D$2:$D$19, 0)), 0)</f>
        <v>1.9850014668353389E-2</v>
      </c>
      <c r="E703">
        <f>IFERROR(IF(_xlfn.XLOOKUP(B703, ①オッズ入力!$A$2:$A$19, ①オッズ入力!$D$2:$D$19, "")="", 0, _xlfn.XLOOKUP(B703, ①オッズ入力!$A$2:$A$19, ①オッズ入力!$D$2:$D$19, 0)), 0)</f>
        <v>1.7865013201518051E-2</v>
      </c>
      <c r="F703">
        <f>IFERROR(IF(_xlfn.XLOOKUP(C703, ①オッズ入力!$A$2:$A$19, ①オッズ入力!$D$2:$D$19, "")="", 0, _xlfn.XLOOKUP(C703, ①オッズ入力!$A$2:$A$19, ①オッズ入力!$D$2:$D$19, 0)), 0)</f>
        <v>9.8701730395127345E-3</v>
      </c>
      <c r="G703">
        <f t="shared" si="20"/>
        <v>285700.53912856494</v>
      </c>
      <c r="H703">
        <f>IF(G703="", 0, IF(OR(A703=③資金配分!$D$1, A703=③資金配分!$D$2, B703=③資金配分!$D$1, B703=③資金配分!$D$2, C703=③資金配分!$D$1, C703=③資金配分!$D$2), 0, IF(OR(A703=③資金配分!$D$4, A703=③資金配分!$D$5, A703=③資金配分!$D$6, B703=③資金配分!$D$4, B703=③資金配分!$D$5, B703=③資金配分!$D$6, C703=③資金配分!$D$4, C703=③資金配分!$D$5, C703=③資金配分!$D$6), 0, IF(AND(③資金配分!$B$8&gt;0, G703&lt;=③資金配分!$B$8), 1, 0))))</f>
        <v>0</v>
      </c>
      <c r="I703">
        <f t="shared" si="21"/>
        <v>0</v>
      </c>
      <c r="J703">
        <f>IF(I703&gt;0, ROUND((I703 / SUM($I$2:$I$817)) * ③資金配分!$B$7, -2), 0)</f>
        <v>0</v>
      </c>
    </row>
    <row r="704" spans="1:10" x14ac:dyDescent="0.4">
      <c r="A704">
        <v>9</v>
      </c>
      <c r="B704">
        <v>10</v>
      </c>
      <c r="C704">
        <v>17</v>
      </c>
      <c r="D704">
        <f>IFERROR(IF(_xlfn.XLOOKUP(A704, ①オッズ入力!$A$2:$A$19, ①オッズ入力!$D$2:$D$19, "")="", 0, _xlfn.XLOOKUP(A704, ①オッズ入力!$A$2:$A$19, ①オッズ入力!$D$2:$D$19, 0)), 0)</f>
        <v>1.9850014668353389E-2</v>
      </c>
      <c r="E704">
        <f>IFERROR(IF(_xlfn.XLOOKUP(B704, ①オッズ入力!$A$2:$A$19, ①オッズ入力!$D$2:$D$19, "")="", 0, _xlfn.XLOOKUP(B704, ①オッズ入力!$A$2:$A$19, ①オッズ入力!$D$2:$D$19, 0)), 0)</f>
        <v>1.7865013201518051E-2</v>
      </c>
      <c r="F704">
        <f>IFERROR(IF(_xlfn.XLOOKUP(C704, ①オッズ入力!$A$2:$A$19, ①オッズ入力!$D$2:$D$19, "")="", 0, _xlfn.XLOOKUP(C704, ①オッズ入力!$A$2:$A$19, ①オッズ入力!$D$2:$D$19, 0)), 0)</f>
        <v>9.1615452315477186E-3</v>
      </c>
      <c r="G704">
        <f t="shared" si="20"/>
        <v>307798.92337055336</v>
      </c>
      <c r="H704">
        <f>IF(G704="", 0, IF(OR(A704=③資金配分!$D$1, A704=③資金配分!$D$2, B704=③資金配分!$D$1, B704=③資金配分!$D$2, C704=③資金配分!$D$1, C704=③資金配分!$D$2), 0, IF(OR(A704=③資金配分!$D$4, A704=③資金配分!$D$5, A704=③資金配分!$D$6, B704=③資金配分!$D$4, B704=③資金配分!$D$5, B704=③資金配分!$D$6, C704=③資金配分!$D$4, C704=③資金配分!$D$5, C704=③資金配分!$D$6), 0, IF(AND(③資金配分!$B$8&gt;0, G704&lt;=③資金配分!$B$8), 1, 0))))</f>
        <v>0</v>
      </c>
      <c r="I704">
        <f t="shared" si="21"/>
        <v>0</v>
      </c>
      <c r="J704">
        <f>IF(I704&gt;0, ROUND((I704 / SUM($I$2:$I$817)) * ③資金配分!$B$7, -2), 0)</f>
        <v>0</v>
      </c>
    </row>
    <row r="705" spans="1:10" x14ac:dyDescent="0.4">
      <c r="A705">
        <v>9</v>
      </c>
      <c r="B705">
        <v>10</v>
      </c>
      <c r="C705">
        <v>18</v>
      </c>
      <c r="D705">
        <f>IFERROR(IF(_xlfn.XLOOKUP(A705, ①オッズ入力!$A$2:$A$19, ①オッズ入力!$D$2:$D$19, "")="", 0, _xlfn.XLOOKUP(A705, ①オッズ入力!$A$2:$A$19, ①オッズ入力!$D$2:$D$19, 0)), 0)</f>
        <v>1.9850014668353389E-2</v>
      </c>
      <c r="E705">
        <f>IFERROR(IF(_xlfn.XLOOKUP(B705, ①オッズ入力!$A$2:$A$19, ①オッズ入力!$D$2:$D$19, "")="", 0, _xlfn.XLOOKUP(B705, ①オッズ入力!$A$2:$A$19, ①オッズ入力!$D$2:$D$19, 0)), 0)</f>
        <v>1.7865013201518051E-2</v>
      </c>
      <c r="F705">
        <f>IFERROR(IF(_xlfn.XLOOKUP(C705, ①オッズ入力!$A$2:$A$19, ①オッズ入力!$D$2:$D$19, "")="", 0, _xlfn.XLOOKUP(C705, ①オッズ入力!$A$2:$A$19, ①オッズ入力!$D$2:$D$19, 0)), 0)</f>
        <v>8.5478532064679671E-3</v>
      </c>
      <c r="G705">
        <f t="shared" si="20"/>
        <v>329897.30761254183</v>
      </c>
      <c r="H705">
        <f>IF(G705="", 0, IF(OR(A705=③資金配分!$D$1, A705=③資金配分!$D$2, B705=③資金配分!$D$1, B705=③資金配分!$D$2, C705=③資金配分!$D$1, C705=③資金配分!$D$2), 0, IF(OR(A705=③資金配分!$D$4, A705=③資金配分!$D$5, A705=③資金配分!$D$6, B705=③資金配分!$D$4, B705=③資金配分!$D$5, B705=③資金配分!$D$6, C705=③資金配分!$D$4, C705=③資金配分!$D$5, C705=③資金配分!$D$6), 0, IF(AND(③資金配分!$B$8&gt;0, G705&lt;=③資金配分!$B$8), 1, 0))))</f>
        <v>0</v>
      </c>
      <c r="I705">
        <f t="shared" si="21"/>
        <v>0</v>
      </c>
      <c r="J705">
        <f>IF(I705&gt;0, ROUND((I705 / SUM($I$2:$I$817)) * ③資金配分!$B$7, -2), 0)</f>
        <v>0</v>
      </c>
    </row>
    <row r="706" spans="1:10" x14ac:dyDescent="0.4">
      <c r="A706">
        <v>9</v>
      </c>
      <c r="B706">
        <v>11</v>
      </c>
      <c r="C706">
        <v>12</v>
      </c>
      <c r="D706">
        <f>IFERROR(IF(_xlfn.XLOOKUP(A706, ①オッズ入力!$A$2:$A$19, ①オッズ入力!$D$2:$D$19, "")="", 0, _xlfn.XLOOKUP(A706, ①オッズ入力!$A$2:$A$19, ①オッズ入力!$D$2:$D$19, 0)), 0)</f>
        <v>1.9850014668353389E-2</v>
      </c>
      <c r="E706">
        <f>IFERROR(IF(_xlfn.XLOOKUP(B706, ①オッズ入力!$A$2:$A$19, ①オッズ入力!$D$2:$D$19, "")="", 0, _xlfn.XLOOKUP(B706, ①オッズ入力!$A$2:$A$19, ①オッズ入力!$D$2:$D$19, 0)), 0)</f>
        <v>1.6240921092289137E-2</v>
      </c>
      <c r="F706">
        <f>IFERROR(IF(_xlfn.XLOOKUP(C706, ①オッズ入力!$A$2:$A$19, ①オッズ入力!$D$2:$D$19, "")="", 0, _xlfn.XLOOKUP(C706, ①オッズ入力!$A$2:$A$19, ①オッズ入力!$D$2:$D$19, 0)), 0)</f>
        <v>1.4887511001265043E-2</v>
      </c>
      <c r="G706">
        <f t="shared" si="20"/>
        <v>208356.19428160536</v>
      </c>
      <c r="H706">
        <f>IF(G706="", 0, IF(OR(A706=③資金配分!$D$1, A706=③資金配分!$D$2, B706=③資金配分!$D$1, B706=③資金配分!$D$2, C706=③資金配分!$D$1, C706=③資金配分!$D$2), 0, IF(OR(A706=③資金配分!$D$4, A706=③資金配分!$D$5, A706=③資金配分!$D$6, B706=③資金配分!$D$4, B706=③資金配分!$D$5, B706=③資金配分!$D$6, C706=③資金配分!$D$4, C706=③資金配分!$D$5, C706=③資金配分!$D$6), 0, IF(AND(③資金配分!$B$8&gt;0, G706&lt;=③資金配分!$B$8), 1, 0))))</f>
        <v>0</v>
      </c>
      <c r="I706">
        <f t="shared" si="21"/>
        <v>0</v>
      </c>
      <c r="J706">
        <f>IF(I706&gt;0, ROUND((I706 / SUM($I$2:$I$817)) * ③資金配分!$B$7, -2), 0)</f>
        <v>0</v>
      </c>
    </row>
    <row r="707" spans="1:10" x14ac:dyDescent="0.4">
      <c r="A707">
        <v>9</v>
      </c>
      <c r="B707">
        <v>11</v>
      </c>
      <c r="C707">
        <v>13</v>
      </c>
      <c r="D707">
        <f>IFERROR(IF(_xlfn.XLOOKUP(A707, ①オッズ入力!$A$2:$A$19, ①オッズ入力!$D$2:$D$19, "")="", 0, _xlfn.XLOOKUP(A707, ①オッズ入力!$A$2:$A$19, ①オッズ入力!$D$2:$D$19, 0)), 0)</f>
        <v>1.9850014668353389E-2</v>
      </c>
      <c r="E707">
        <f>IFERROR(IF(_xlfn.XLOOKUP(B707, ①オッズ入力!$A$2:$A$19, ①オッズ入力!$D$2:$D$19, "")="", 0, _xlfn.XLOOKUP(B707, ①オッズ入力!$A$2:$A$19, ①オッズ入力!$D$2:$D$19, 0)), 0)</f>
        <v>1.6240921092289137E-2</v>
      </c>
      <c r="F707">
        <f>IFERROR(IF(_xlfn.XLOOKUP(C707, ①オッズ入力!$A$2:$A$19, ①オッズ入力!$D$2:$D$19, "")="", 0, _xlfn.XLOOKUP(C707, ①オッズ入力!$A$2:$A$19, ①オッズ入力!$D$2:$D$19, 0)), 0)</f>
        <v>1.2760723715370036E-2</v>
      </c>
      <c r="G707">
        <f t="shared" ref="G707:G770" si="22">IF(OR(D707=0, E707=0, F707=0), "", 1/(D707*E707*F707))</f>
        <v>243082.22666187296</v>
      </c>
      <c r="H707">
        <f>IF(G707="", 0, IF(OR(A707=③資金配分!$D$1, A707=③資金配分!$D$2, B707=③資金配分!$D$1, B707=③資金配分!$D$2, C707=③資金配分!$D$1, C707=③資金配分!$D$2), 0, IF(OR(A707=③資金配分!$D$4, A707=③資金配分!$D$5, A707=③資金配分!$D$6, B707=③資金配分!$D$4, B707=③資金配分!$D$5, B707=③資金配分!$D$6, C707=③資金配分!$D$4, C707=③資金配分!$D$5, C707=③資金配分!$D$6), 0, IF(AND(③資金配分!$B$8&gt;0, G707&lt;=③資金配分!$B$8), 1, 0))))</f>
        <v>0</v>
      </c>
      <c r="I707">
        <f t="shared" ref="I707:I770" si="23">IF(H707=1, 1/G707, 0)</f>
        <v>0</v>
      </c>
      <c r="J707">
        <f>IF(I707&gt;0, ROUND((I707 / SUM($I$2:$I$817)) * ③資金配分!$B$7, -2), 0)</f>
        <v>0</v>
      </c>
    </row>
    <row r="708" spans="1:10" x14ac:dyDescent="0.4">
      <c r="A708">
        <v>9</v>
      </c>
      <c r="B708">
        <v>11</v>
      </c>
      <c r="C708">
        <v>14</v>
      </c>
      <c r="D708">
        <f>IFERROR(IF(_xlfn.XLOOKUP(A708, ①オッズ入力!$A$2:$A$19, ①オッズ入力!$D$2:$D$19, "")="", 0, _xlfn.XLOOKUP(A708, ①オッズ入力!$A$2:$A$19, ①オッズ入力!$D$2:$D$19, 0)), 0)</f>
        <v>1.9850014668353389E-2</v>
      </c>
      <c r="E708">
        <f>IFERROR(IF(_xlfn.XLOOKUP(B708, ①オッズ入力!$A$2:$A$19, ①オッズ入力!$D$2:$D$19, "")="", 0, _xlfn.XLOOKUP(B708, ①オッズ入力!$A$2:$A$19, ①オッズ入力!$D$2:$D$19, 0)), 0)</f>
        <v>1.6240921092289137E-2</v>
      </c>
      <c r="F708">
        <f>IFERROR(IF(_xlfn.XLOOKUP(C708, ①オッズ入力!$A$2:$A$19, ①オッズ入力!$D$2:$D$19, "")="", 0, _xlfn.XLOOKUP(C708, ①オッズ入力!$A$2:$A$19, ①オッズ入力!$D$2:$D$19, 0)), 0)</f>
        <v>1.1525814968721322E-2</v>
      </c>
      <c r="G708">
        <f t="shared" si="22"/>
        <v>269126.75094707363</v>
      </c>
      <c r="H708">
        <f>IF(G708="", 0, IF(OR(A708=③資金配分!$D$1, A708=③資金配分!$D$2, B708=③資金配分!$D$1, B708=③資金配分!$D$2, C708=③資金配分!$D$1, C708=③資金配分!$D$2), 0, IF(OR(A708=③資金配分!$D$4, A708=③資金配分!$D$5, A708=③資金配分!$D$6, B708=③資金配分!$D$4, B708=③資金配分!$D$5, B708=③資金配分!$D$6, C708=③資金配分!$D$4, C708=③資金配分!$D$5, C708=③資金配分!$D$6), 0, IF(AND(③資金配分!$B$8&gt;0, G708&lt;=③資金配分!$B$8), 1, 0))))</f>
        <v>0</v>
      </c>
      <c r="I708">
        <f t="shared" si="23"/>
        <v>0</v>
      </c>
      <c r="J708">
        <f>IF(I708&gt;0, ROUND((I708 / SUM($I$2:$I$817)) * ③資金配分!$B$7, -2), 0)</f>
        <v>0</v>
      </c>
    </row>
    <row r="709" spans="1:10" x14ac:dyDescent="0.4">
      <c r="A709">
        <v>9</v>
      </c>
      <c r="B709">
        <v>11</v>
      </c>
      <c r="C709">
        <v>15</v>
      </c>
      <c r="D709">
        <f>IFERROR(IF(_xlfn.XLOOKUP(A709, ①オッズ入力!$A$2:$A$19, ①オッズ入力!$D$2:$D$19, "")="", 0, _xlfn.XLOOKUP(A709, ①オッズ入力!$A$2:$A$19, ①オッズ入力!$D$2:$D$19, 0)), 0)</f>
        <v>1.9850014668353389E-2</v>
      </c>
      <c r="E709">
        <f>IFERROR(IF(_xlfn.XLOOKUP(B709, ①オッズ入力!$A$2:$A$19, ①オッズ入力!$D$2:$D$19, "")="", 0, _xlfn.XLOOKUP(B709, ①オッズ入力!$A$2:$A$19, ①オッズ入力!$D$2:$D$19, 0)), 0)</f>
        <v>1.6240921092289137E-2</v>
      </c>
      <c r="F709">
        <f>IFERROR(IF(_xlfn.XLOOKUP(C709, ①オッズ入力!$A$2:$A$19, ①オッズ入力!$D$2:$D$19, "")="", 0, _xlfn.XLOOKUP(C709, ①オッズ入力!$A$2:$A$19, ①オッズ入力!$D$2:$D$19, 0)), 0)</f>
        <v>1.0697612695519792E-2</v>
      </c>
      <c r="G709">
        <f t="shared" si="22"/>
        <v>289962.37037523411</v>
      </c>
      <c r="H709">
        <f>IF(G709="", 0, IF(OR(A709=③資金配分!$D$1, A709=③資金配分!$D$2, B709=③資金配分!$D$1, B709=③資金配分!$D$2, C709=③資金配分!$D$1, C709=③資金配分!$D$2), 0, IF(OR(A709=③資金配分!$D$4, A709=③資金配分!$D$5, A709=③資金配分!$D$6, B709=③資金配分!$D$4, B709=③資金配分!$D$5, B709=③資金配分!$D$6, C709=③資金配分!$D$4, C709=③資金配分!$D$5, C709=③資金配分!$D$6), 0, IF(AND(③資金配分!$B$8&gt;0, G709&lt;=③資金配分!$B$8), 1, 0))))</f>
        <v>0</v>
      </c>
      <c r="I709">
        <f t="shared" si="23"/>
        <v>0</v>
      </c>
      <c r="J709">
        <f>IF(I709&gt;0, ROUND((I709 / SUM($I$2:$I$817)) * ③資金配分!$B$7, -2), 0)</f>
        <v>0</v>
      </c>
    </row>
    <row r="710" spans="1:10" x14ac:dyDescent="0.4">
      <c r="A710">
        <v>9</v>
      </c>
      <c r="B710">
        <v>11</v>
      </c>
      <c r="C710">
        <v>16</v>
      </c>
      <c r="D710">
        <f>IFERROR(IF(_xlfn.XLOOKUP(A710, ①オッズ入力!$A$2:$A$19, ①オッズ入力!$D$2:$D$19, "")="", 0, _xlfn.XLOOKUP(A710, ①オッズ入力!$A$2:$A$19, ①オッズ入力!$D$2:$D$19, 0)), 0)</f>
        <v>1.9850014668353389E-2</v>
      </c>
      <c r="E710">
        <f>IFERROR(IF(_xlfn.XLOOKUP(B710, ①オッズ入力!$A$2:$A$19, ①オッズ入力!$D$2:$D$19, "")="", 0, _xlfn.XLOOKUP(B710, ①オッズ入力!$A$2:$A$19, ①オッズ入力!$D$2:$D$19, 0)), 0)</f>
        <v>1.6240921092289137E-2</v>
      </c>
      <c r="F710">
        <f>IFERROR(IF(_xlfn.XLOOKUP(C710, ①オッズ入力!$A$2:$A$19, ①オッズ入力!$D$2:$D$19, "")="", 0, _xlfn.XLOOKUP(C710, ①オッズ入力!$A$2:$A$19, ①オッズ入力!$D$2:$D$19, 0)), 0)</f>
        <v>9.8701730395127345E-3</v>
      </c>
      <c r="G710">
        <f t="shared" si="22"/>
        <v>314270.59304142144</v>
      </c>
      <c r="H710">
        <f>IF(G710="", 0, IF(OR(A710=③資金配分!$D$1, A710=③資金配分!$D$2, B710=③資金配分!$D$1, B710=③資金配分!$D$2, C710=③資金配分!$D$1, C710=③資金配分!$D$2), 0, IF(OR(A710=③資金配分!$D$4, A710=③資金配分!$D$5, A710=③資金配分!$D$6, B710=③資金配分!$D$4, B710=③資金配分!$D$5, B710=③資金配分!$D$6, C710=③資金配分!$D$4, C710=③資金配分!$D$5, C710=③資金配分!$D$6), 0, IF(AND(③資金配分!$B$8&gt;0, G710&lt;=③資金配分!$B$8), 1, 0))))</f>
        <v>0</v>
      </c>
      <c r="I710">
        <f t="shared" si="23"/>
        <v>0</v>
      </c>
      <c r="J710">
        <f>IF(I710&gt;0, ROUND((I710 / SUM($I$2:$I$817)) * ③資金配分!$B$7, -2), 0)</f>
        <v>0</v>
      </c>
    </row>
    <row r="711" spans="1:10" x14ac:dyDescent="0.4">
      <c r="A711">
        <v>9</v>
      </c>
      <c r="B711">
        <v>11</v>
      </c>
      <c r="C711">
        <v>17</v>
      </c>
      <c r="D711">
        <f>IFERROR(IF(_xlfn.XLOOKUP(A711, ①オッズ入力!$A$2:$A$19, ①オッズ入力!$D$2:$D$19, "")="", 0, _xlfn.XLOOKUP(A711, ①オッズ入力!$A$2:$A$19, ①オッズ入力!$D$2:$D$19, 0)), 0)</f>
        <v>1.9850014668353389E-2</v>
      </c>
      <c r="E711">
        <f>IFERROR(IF(_xlfn.XLOOKUP(B711, ①オッズ入力!$A$2:$A$19, ①オッズ入力!$D$2:$D$19, "")="", 0, _xlfn.XLOOKUP(B711, ①オッズ入力!$A$2:$A$19, ①オッズ入力!$D$2:$D$19, 0)), 0)</f>
        <v>1.6240921092289137E-2</v>
      </c>
      <c r="F711">
        <f>IFERROR(IF(_xlfn.XLOOKUP(C711, ①オッズ入力!$A$2:$A$19, ①オッズ入力!$D$2:$D$19, "")="", 0, _xlfn.XLOOKUP(C711, ①オッズ入力!$A$2:$A$19, ①オッズ入力!$D$2:$D$19, 0)), 0)</f>
        <v>9.1615452315477186E-3</v>
      </c>
      <c r="G711">
        <f t="shared" si="22"/>
        <v>338578.81570760871</v>
      </c>
      <c r="H711">
        <f>IF(G711="", 0, IF(OR(A711=③資金配分!$D$1, A711=③資金配分!$D$2, B711=③資金配分!$D$1, B711=③資金配分!$D$2, C711=③資金配分!$D$1, C711=③資金配分!$D$2), 0, IF(OR(A711=③資金配分!$D$4, A711=③資金配分!$D$5, A711=③資金配分!$D$6, B711=③資金配分!$D$4, B711=③資金配分!$D$5, B711=③資金配分!$D$6, C711=③資金配分!$D$4, C711=③資金配分!$D$5, C711=③資金配分!$D$6), 0, IF(AND(③資金配分!$B$8&gt;0, G711&lt;=③資金配分!$B$8), 1, 0))))</f>
        <v>0</v>
      </c>
      <c r="I711">
        <f t="shared" si="23"/>
        <v>0</v>
      </c>
      <c r="J711">
        <f>IF(I711&gt;0, ROUND((I711 / SUM($I$2:$I$817)) * ③資金配分!$B$7, -2), 0)</f>
        <v>0</v>
      </c>
    </row>
    <row r="712" spans="1:10" x14ac:dyDescent="0.4">
      <c r="A712">
        <v>9</v>
      </c>
      <c r="B712">
        <v>11</v>
      </c>
      <c r="C712">
        <v>18</v>
      </c>
      <c r="D712">
        <f>IFERROR(IF(_xlfn.XLOOKUP(A712, ①オッズ入力!$A$2:$A$19, ①オッズ入力!$D$2:$D$19, "")="", 0, _xlfn.XLOOKUP(A712, ①オッズ入力!$A$2:$A$19, ①オッズ入力!$D$2:$D$19, 0)), 0)</f>
        <v>1.9850014668353389E-2</v>
      </c>
      <c r="E712">
        <f>IFERROR(IF(_xlfn.XLOOKUP(B712, ①オッズ入力!$A$2:$A$19, ①オッズ入力!$D$2:$D$19, "")="", 0, _xlfn.XLOOKUP(B712, ①オッズ入力!$A$2:$A$19, ①オッズ入力!$D$2:$D$19, 0)), 0)</f>
        <v>1.6240921092289137E-2</v>
      </c>
      <c r="F712">
        <f>IFERROR(IF(_xlfn.XLOOKUP(C712, ①オッズ入力!$A$2:$A$19, ①オッズ入力!$D$2:$D$19, "")="", 0, _xlfn.XLOOKUP(C712, ①オッズ入力!$A$2:$A$19, ①オッズ入力!$D$2:$D$19, 0)), 0)</f>
        <v>8.5478532064679671E-3</v>
      </c>
      <c r="G712">
        <f t="shared" si="22"/>
        <v>362887.03837379598</v>
      </c>
      <c r="H712">
        <f>IF(G712="", 0, IF(OR(A712=③資金配分!$D$1, A712=③資金配分!$D$2, B712=③資金配分!$D$1, B712=③資金配分!$D$2, C712=③資金配分!$D$1, C712=③資金配分!$D$2), 0, IF(OR(A712=③資金配分!$D$4, A712=③資金配分!$D$5, A712=③資金配分!$D$6, B712=③資金配分!$D$4, B712=③資金配分!$D$5, B712=③資金配分!$D$6, C712=③資金配分!$D$4, C712=③資金配分!$D$5, C712=③資金配分!$D$6), 0, IF(AND(③資金配分!$B$8&gt;0, G712&lt;=③資金配分!$B$8), 1, 0))))</f>
        <v>0</v>
      </c>
      <c r="I712">
        <f t="shared" si="23"/>
        <v>0</v>
      </c>
      <c r="J712">
        <f>IF(I712&gt;0, ROUND((I712 / SUM($I$2:$I$817)) * ③資金配分!$B$7, -2), 0)</f>
        <v>0</v>
      </c>
    </row>
    <row r="713" spans="1:10" x14ac:dyDescent="0.4">
      <c r="A713">
        <v>9</v>
      </c>
      <c r="B713">
        <v>12</v>
      </c>
      <c r="C713">
        <v>13</v>
      </c>
      <c r="D713">
        <f>IFERROR(IF(_xlfn.XLOOKUP(A713, ①オッズ入力!$A$2:$A$19, ①オッズ入力!$D$2:$D$19, "")="", 0, _xlfn.XLOOKUP(A713, ①オッズ入力!$A$2:$A$19, ①オッズ入力!$D$2:$D$19, 0)), 0)</f>
        <v>1.9850014668353389E-2</v>
      </c>
      <c r="E713">
        <f>IFERROR(IF(_xlfn.XLOOKUP(B713, ①オッズ入力!$A$2:$A$19, ①オッズ入力!$D$2:$D$19, "")="", 0, _xlfn.XLOOKUP(B713, ①オッズ入力!$A$2:$A$19, ①オッズ入力!$D$2:$D$19, 0)), 0)</f>
        <v>1.4887511001265043E-2</v>
      </c>
      <c r="F713">
        <f>IFERROR(IF(_xlfn.XLOOKUP(C713, ①オッズ入力!$A$2:$A$19, ①オッズ入力!$D$2:$D$19, "")="", 0, _xlfn.XLOOKUP(C713, ①オッズ入力!$A$2:$A$19, ①オッズ入力!$D$2:$D$19, 0)), 0)</f>
        <v>1.2760723715370036E-2</v>
      </c>
      <c r="G713">
        <f t="shared" si="22"/>
        <v>265180.61090386141</v>
      </c>
      <c r="H713">
        <f>IF(G713="", 0, IF(OR(A713=③資金配分!$D$1, A713=③資金配分!$D$2, B713=③資金配分!$D$1, B713=③資金配分!$D$2, C713=③資金配分!$D$1, C713=③資金配分!$D$2), 0, IF(OR(A713=③資金配分!$D$4, A713=③資金配分!$D$5, A713=③資金配分!$D$6, B713=③資金配分!$D$4, B713=③資金配分!$D$5, B713=③資金配分!$D$6, C713=③資金配分!$D$4, C713=③資金配分!$D$5, C713=③資金配分!$D$6), 0, IF(AND(③資金配分!$B$8&gt;0, G713&lt;=③資金配分!$B$8), 1, 0))))</f>
        <v>0</v>
      </c>
      <c r="I713">
        <f t="shared" si="23"/>
        <v>0</v>
      </c>
      <c r="J713">
        <f>IF(I713&gt;0, ROUND((I713 / SUM($I$2:$I$817)) * ③資金配分!$B$7, -2), 0)</f>
        <v>0</v>
      </c>
    </row>
    <row r="714" spans="1:10" x14ac:dyDescent="0.4">
      <c r="A714">
        <v>9</v>
      </c>
      <c r="B714">
        <v>12</v>
      </c>
      <c r="C714">
        <v>14</v>
      </c>
      <c r="D714">
        <f>IFERROR(IF(_xlfn.XLOOKUP(A714, ①オッズ入力!$A$2:$A$19, ①オッズ入力!$D$2:$D$19, "")="", 0, _xlfn.XLOOKUP(A714, ①オッズ入力!$A$2:$A$19, ①オッズ入力!$D$2:$D$19, 0)), 0)</f>
        <v>1.9850014668353389E-2</v>
      </c>
      <c r="E714">
        <f>IFERROR(IF(_xlfn.XLOOKUP(B714, ①オッズ入力!$A$2:$A$19, ①オッズ入力!$D$2:$D$19, "")="", 0, _xlfn.XLOOKUP(B714, ①オッズ入力!$A$2:$A$19, ①オッズ入力!$D$2:$D$19, 0)), 0)</f>
        <v>1.4887511001265043E-2</v>
      </c>
      <c r="F714">
        <f>IFERROR(IF(_xlfn.XLOOKUP(C714, ①オッズ入力!$A$2:$A$19, ①オッズ入力!$D$2:$D$19, "")="", 0, _xlfn.XLOOKUP(C714, ①オッズ入力!$A$2:$A$19, ①オッズ入力!$D$2:$D$19, 0)), 0)</f>
        <v>1.1525814968721322E-2</v>
      </c>
      <c r="G714">
        <f t="shared" si="22"/>
        <v>293592.81921498937</v>
      </c>
      <c r="H714">
        <f>IF(G714="", 0, IF(OR(A714=③資金配分!$D$1, A714=③資金配分!$D$2, B714=③資金配分!$D$1, B714=③資金配分!$D$2, C714=③資金配分!$D$1, C714=③資金配分!$D$2), 0, IF(OR(A714=③資金配分!$D$4, A714=③資金配分!$D$5, A714=③資金配分!$D$6, B714=③資金配分!$D$4, B714=③資金配分!$D$5, B714=③資金配分!$D$6, C714=③資金配分!$D$4, C714=③資金配分!$D$5, C714=③資金配分!$D$6), 0, IF(AND(③資金配分!$B$8&gt;0, G714&lt;=③資金配分!$B$8), 1, 0))))</f>
        <v>0</v>
      </c>
      <c r="I714">
        <f t="shared" si="23"/>
        <v>0</v>
      </c>
      <c r="J714">
        <f>IF(I714&gt;0, ROUND((I714 / SUM($I$2:$I$817)) * ③資金配分!$B$7, -2), 0)</f>
        <v>0</v>
      </c>
    </row>
    <row r="715" spans="1:10" x14ac:dyDescent="0.4">
      <c r="A715">
        <v>9</v>
      </c>
      <c r="B715">
        <v>12</v>
      </c>
      <c r="C715">
        <v>15</v>
      </c>
      <c r="D715">
        <f>IFERROR(IF(_xlfn.XLOOKUP(A715, ①オッズ入力!$A$2:$A$19, ①オッズ入力!$D$2:$D$19, "")="", 0, _xlfn.XLOOKUP(A715, ①オッズ入力!$A$2:$A$19, ①オッズ入力!$D$2:$D$19, 0)), 0)</f>
        <v>1.9850014668353389E-2</v>
      </c>
      <c r="E715">
        <f>IFERROR(IF(_xlfn.XLOOKUP(B715, ①オッズ入力!$A$2:$A$19, ①オッズ入力!$D$2:$D$19, "")="", 0, _xlfn.XLOOKUP(B715, ①オッズ入力!$A$2:$A$19, ①オッズ入力!$D$2:$D$19, 0)), 0)</f>
        <v>1.4887511001265043E-2</v>
      </c>
      <c r="F715">
        <f>IFERROR(IF(_xlfn.XLOOKUP(C715, ①オッズ入力!$A$2:$A$19, ①オッズ入力!$D$2:$D$19, "")="", 0, _xlfn.XLOOKUP(C715, ①オッズ入力!$A$2:$A$19, ①オッズ入力!$D$2:$D$19, 0)), 0)</f>
        <v>1.0697612695519792E-2</v>
      </c>
      <c r="G715">
        <f t="shared" si="22"/>
        <v>316322.58586389176</v>
      </c>
      <c r="H715">
        <f>IF(G715="", 0, IF(OR(A715=③資金配分!$D$1, A715=③資金配分!$D$2, B715=③資金配分!$D$1, B715=③資金配分!$D$2, C715=③資金配分!$D$1, C715=③資金配分!$D$2), 0, IF(OR(A715=③資金配分!$D$4, A715=③資金配分!$D$5, A715=③資金配分!$D$6, B715=③資金配分!$D$4, B715=③資金配分!$D$5, B715=③資金配分!$D$6, C715=③資金配分!$D$4, C715=③資金配分!$D$5, C715=③資金配分!$D$6), 0, IF(AND(③資金配分!$B$8&gt;0, G715&lt;=③資金配分!$B$8), 1, 0))))</f>
        <v>0</v>
      </c>
      <c r="I715">
        <f t="shared" si="23"/>
        <v>0</v>
      </c>
      <c r="J715">
        <f>IF(I715&gt;0, ROUND((I715 / SUM($I$2:$I$817)) * ③資金配分!$B$7, -2), 0)</f>
        <v>0</v>
      </c>
    </row>
    <row r="716" spans="1:10" x14ac:dyDescent="0.4">
      <c r="A716">
        <v>9</v>
      </c>
      <c r="B716">
        <v>12</v>
      </c>
      <c r="C716">
        <v>16</v>
      </c>
      <c r="D716">
        <f>IFERROR(IF(_xlfn.XLOOKUP(A716, ①オッズ入力!$A$2:$A$19, ①オッズ入力!$D$2:$D$19, "")="", 0, _xlfn.XLOOKUP(A716, ①オッズ入力!$A$2:$A$19, ①オッズ入力!$D$2:$D$19, 0)), 0)</f>
        <v>1.9850014668353389E-2</v>
      </c>
      <c r="E716">
        <f>IFERROR(IF(_xlfn.XLOOKUP(B716, ①オッズ入力!$A$2:$A$19, ①オッズ入力!$D$2:$D$19, "")="", 0, _xlfn.XLOOKUP(B716, ①オッズ入力!$A$2:$A$19, ①オッズ入力!$D$2:$D$19, 0)), 0)</f>
        <v>1.4887511001265043E-2</v>
      </c>
      <c r="F716">
        <f>IFERROR(IF(_xlfn.XLOOKUP(C716, ①オッズ入力!$A$2:$A$19, ①オッズ入力!$D$2:$D$19, "")="", 0, _xlfn.XLOOKUP(C716, ①オッズ入力!$A$2:$A$19, ①オッズ入力!$D$2:$D$19, 0)), 0)</f>
        <v>9.8701730395127345E-3</v>
      </c>
      <c r="G716">
        <f t="shared" si="22"/>
        <v>342840.64695427794</v>
      </c>
      <c r="H716">
        <f>IF(G716="", 0, IF(OR(A716=③資金配分!$D$1, A716=③資金配分!$D$2, B716=③資金配分!$D$1, B716=③資金配分!$D$2, C716=③資金配分!$D$1, C716=③資金配分!$D$2), 0, IF(OR(A716=③資金配分!$D$4, A716=③資金配分!$D$5, A716=③資金配分!$D$6, B716=③資金配分!$D$4, B716=③資金配分!$D$5, B716=③資金配分!$D$6, C716=③資金配分!$D$4, C716=③資金配分!$D$5, C716=③資金配分!$D$6), 0, IF(AND(③資金配分!$B$8&gt;0, G716&lt;=③資金配分!$B$8), 1, 0))))</f>
        <v>0</v>
      </c>
      <c r="I716">
        <f t="shared" si="23"/>
        <v>0</v>
      </c>
      <c r="J716">
        <f>IF(I716&gt;0, ROUND((I716 / SUM($I$2:$I$817)) * ③資金配分!$B$7, -2), 0)</f>
        <v>0</v>
      </c>
    </row>
    <row r="717" spans="1:10" x14ac:dyDescent="0.4">
      <c r="A717">
        <v>9</v>
      </c>
      <c r="B717">
        <v>12</v>
      </c>
      <c r="C717">
        <v>17</v>
      </c>
      <c r="D717">
        <f>IFERROR(IF(_xlfn.XLOOKUP(A717, ①オッズ入力!$A$2:$A$19, ①オッズ入力!$D$2:$D$19, "")="", 0, _xlfn.XLOOKUP(A717, ①オッズ入力!$A$2:$A$19, ①オッズ入力!$D$2:$D$19, 0)), 0)</f>
        <v>1.9850014668353389E-2</v>
      </c>
      <c r="E717">
        <f>IFERROR(IF(_xlfn.XLOOKUP(B717, ①オッズ入力!$A$2:$A$19, ①オッズ入力!$D$2:$D$19, "")="", 0, _xlfn.XLOOKUP(B717, ①オッズ入力!$A$2:$A$19, ①オッズ入力!$D$2:$D$19, 0)), 0)</f>
        <v>1.4887511001265043E-2</v>
      </c>
      <c r="F717">
        <f>IFERROR(IF(_xlfn.XLOOKUP(C717, ①オッズ入力!$A$2:$A$19, ①オッズ入力!$D$2:$D$19, "")="", 0, _xlfn.XLOOKUP(C717, ①オッズ入力!$A$2:$A$19, ①オッズ入力!$D$2:$D$19, 0)), 0)</f>
        <v>9.1615452315477186E-3</v>
      </c>
      <c r="G717">
        <f t="shared" si="22"/>
        <v>369358.708044664</v>
      </c>
      <c r="H717">
        <f>IF(G717="", 0, IF(OR(A717=③資金配分!$D$1, A717=③資金配分!$D$2, B717=③資金配分!$D$1, B717=③資金配分!$D$2, C717=③資金配分!$D$1, C717=③資金配分!$D$2), 0, IF(OR(A717=③資金配分!$D$4, A717=③資金配分!$D$5, A717=③資金配分!$D$6, B717=③資金配分!$D$4, B717=③資金配分!$D$5, B717=③資金配分!$D$6, C717=③資金配分!$D$4, C717=③資金配分!$D$5, C717=③資金配分!$D$6), 0, IF(AND(③資金配分!$B$8&gt;0, G717&lt;=③資金配分!$B$8), 1, 0))))</f>
        <v>0</v>
      </c>
      <c r="I717">
        <f t="shared" si="23"/>
        <v>0</v>
      </c>
      <c r="J717">
        <f>IF(I717&gt;0, ROUND((I717 / SUM($I$2:$I$817)) * ③資金配分!$B$7, -2), 0)</f>
        <v>0</v>
      </c>
    </row>
    <row r="718" spans="1:10" x14ac:dyDescent="0.4">
      <c r="A718">
        <v>9</v>
      </c>
      <c r="B718">
        <v>12</v>
      </c>
      <c r="C718">
        <v>18</v>
      </c>
      <c r="D718">
        <f>IFERROR(IF(_xlfn.XLOOKUP(A718, ①オッズ入力!$A$2:$A$19, ①オッズ入力!$D$2:$D$19, "")="", 0, _xlfn.XLOOKUP(A718, ①オッズ入力!$A$2:$A$19, ①オッズ入力!$D$2:$D$19, 0)), 0)</f>
        <v>1.9850014668353389E-2</v>
      </c>
      <c r="E718">
        <f>IFERROR(IF(_xlfn.XLOOKUP(B718, ①オッズ入力!$A$2:$A$19, ①オッズ入力!$D$2:$D$19, "")="", 0, _xlfn.XLOOKUP(B718, ①オッズ入力!$A$2:$A$19, ①オッズ入力!$D$2:$D$19, 0)), 0)</f>
        <v>1.4887511001265043E-2</v>
      </c>
      <c r="F718">
        <f>IFERROR(IF(_xlfn.XLOOKUP(C718, ①オッズ入力!$A$2:$A$19, ①オッズ入力!$D$2:$D$19, "")="", 0, _xlfn.XLOOKUP(C718, ①オッズ入力!$A$2:$A$19, ①オッズ入力!$D$2:$D$19, 0)), 0)</f>
        <v>8.5478532064679671E-3</v>
      </c>
      <c r="G718">
        <f t="shared" si="22"/>
        <v>395876.76913505018</v>
      </c>
      <c r="H718">
        <f>IF(G718="", 0, IF(OR(A718=③資金配分!$D$1, A718=③資金配分!$D$2, B718=③資金配分!$D$1, B718=③資金配分!$D$2, C718=③資金配分!$D$1, C718=③資金配分!$D$2), 0, IF(OR(A718=③資金配分!$D$4, A718=③資金配分!$D$5, A718=③資金配分!$D$6, B718=③資金配分!$D$4, B718=③資金配分!$D$5, B718=③資金配分!$D$6, C718=③資金配分!$D$4, C718=③資金配分!$D$5, C718=③資金配分!$D$6), 0, IF(AND(③資金配分!$B$8&gt;0, G718&lt;=③資金配分!$B$8), 1, 0))))</f>
        <v>0</v>
      </c>
      <c r="I718">
        <f t="shared" si="23"/>
        <v>0</v>
      </c>
      <c r="J718">
        <f>IF(I718&gt;0, ROUND((I718 / SUM($I$2:$I$817)) * ③資金配分!$B$7, -2), 0)</f>
        <v>0</v>
      </c>
    </row>
    <row r="719" spans="1:10" x14ac:dyDescent="0.4">
      <c r="A719">
        <v>9</v>
      </c>
      <c r="B719">
        <v>13</v>
      </c>
      <c r="C719">
        <v>14</v>
      </c>
      <c r="D719">
        <f>IFERROR(IF(_xlfn.XLOOKUP(A719, ①オッズ入力!$A$2:$A$19, ①オッズ入力!$D$2:$D$19, "")="", 0, _xlfn.XLOOKUP(A719, ①オッズ入力!$A$2:$A$19, ①オッズ入力!$D$2:$D$19, 0)), 0)</f>
        <v>1.9850014668353389E-2</v>
      </c>
      <c r="E719">
        <f>IFERROR(IF(_xlfn.XLOOKUP(B719, ①オッズ入力!$A$2:$A$19, ①オッズ入力!$D$2:$D$19, "")="", 0, _xlfn.XLOOKUP(B719, ①オッズ入力!$A$2:$A$19, ①オッズ入力!$D$2:$D$19, 0)), 0)</f>
        <v>1.2760723715370036E-2</v>
      </c>
      <c r="F719">
        <f>IFERROR(IF(_xlfn.XLOOKUP(C719, ①オッズ入力!$A$2:$A$19, ①オッズ入力!$D$2:$D$19, "")="", 0, _xlfn.XLOOKUP(C719, ①オッズ入力!$A$2:$A$19, ①オッズ入力!$D$2:$D$19, 0)), 0)</f>
        <v>1.1525814968721322E-2</v>
      </c>
      <c r="G719">
        <f t="shared" si="22"/>
        <v>342524.95575082098</v>
      </c>
      <c r="H719">
        <f>IF(G719="", 0, IF(OR(A719=③資金配分!$D$1, A719=③資金配分!$D$2, B719=③資金配分!$D$1, B719=③資金配分!$D$2, C719=③資金配分!$D$1, C719=③資金配分!$D$2), 0, IF(OR(A719=③資金配分!$D$4, A719=③資金配分!$D$5, A719=③資金配分!$D$6, B719=③資金配分!$D$4, B719=③資金配分!$D$5, B719=③資金配分!$D$6, C719=③資金配分!$D$4, C719=③資金配分!$D$5, C719=③資金配分!$D$6), 0, IF(AND(③資金配分!$B$8&gt;0, G719&lt;=③資金配分!$B$8), 1, 0))))</f>
        <v>0</v>
      </c>
      <c r="I719">
        <f t="shared" si="23"/>
        <v>0</v>
      </c>
      <c r="J719">
        <f>IF(I719&gt;0, ROUND((I719 / SUM($I$2:$I$817)) * ③資金配分!$B$7, -2), 0)</f>
        <v>0</v>
      </c>
    </row>
    <row r="720" spans="1:10" x14ac:dyDescent="0.4">
      <c r="A720">
        <v>9</v>
      </c>
      <c r="B720">
        <v>13</v>
      </c>
      <c r="C720">
        <v>15</v>
      </c>
      <c r="D720">
        <f>IFERROR(IF(_xlfn.XLOOKUP(A720, ①オッズ入力!$A$2:$A$19, ①オッズ入力!$D$2:$D$19, "")="", 0, _xlfn.XLOOKUP(A720, ①オッズ入力!$A$2:$A$19, ①オッズ入力!$D$2:$D$19, 0)), 0)</f>
        <v>1.9850014668353389E-2</v>
      </c>
      <c r="E720">
        <f>IFERROR(IF(_xlfn.XLOOKUP(B720, ①オッズ入力!$A$2:$A$19, ①オッズ入力!$D$2:$D$19, "")="", 0, _xlfn.XLOOKUP(B720, ①オッズ入力!$A$2:$A$19, ①オッズ入力!$D$2:$D$19, 0)), 0)</f>
        <v>1.2760723715370036E-2</v>
      </c>
      <c r="F720">
        <f>IFERROR(IF(_xlfn.XLOOKUP(C720, ①オッズ入力!$A$2:$A$19, ①オッズ入力!$D$2:$D$19, "")="", 0, _xlfn.XLOOKUP(C720, ①オッズ入力!$A$2:$A$19, ①オッズ入力!$D$2:$D$19, 0)), 0)</f>
        <v>1.0697612695519792E-2</v>
      </c>
      <c r="G720">
        <f t="shared" si="22"/>
        <v>369043.01684120705</v>
      </c>
      <c r="H720">
        <f>IF(G720="", 0, IF(OR(A720=③資金配分!$D$1, A720=③資金配分!$D$2, B720=③資金配分!$D$1, B720=③資金配分!$D$2, C720=③資金配分!$D$1, C720=③資金配分!$D$2), 0, IF(OR(A720=③資金配分!$D$4, A720=③資金配分!$D$5, A720=③資金配分!$D$6, B720=③資金配分!$D$4, B720=③資金配分!$D$5, B720=③資金配分!$D$6, C720=③資金配分!$D$4, C720=③資金配分!$D$5, C720=③資金配分!$D$6), 0, IF(AND(③資金配分!$B$8&gt;0, G720&lt;=③資金配分!$B$8), 1, 0))))</f>
        <v>0</v>
      </c>
      <c r="I720">
        <f t="shared" si="23"/>
        <v>0</v>
      </c>
      <c r="J720">
        <f>IF(I720&gt;0, ROUND((I720 / SUM($I$2:$I$817)) * ③資金配分!$B$7, -2), 0)</f>
        <v>0</v>
      </c>
    </row>
    <row r="721" spans="1:10" x14ac:dyDescent="0.4">
      <c r="A721">
        <v>9</v>
      </c>
      <c r="B721">
        <v>13</v>
      </c>
      <c r="C721">
        <v>16</v>
      </c>
      <c r="D721">
        <f>IFERROR(IF(_xlfn.XLOOKUP(A721, ①オッズ入力!$A$2:$A$19, ①オッズ入力!$D$2:$D$19, "")="", 0, _xlfn.XLOOKUP(A721, ①オッズ入力!$A$2:$A$19, ①オッズ入力!$D$2:$D$19, 0)), 0)</f>
        <v>1.9850014668353389E-2</v>
      </c>
      <c r="E721">
        <f>IFERROR(IF(_xlfn.XLOOKUP(B721, ①オッズ入力!$A$2:$A$19, ①オッズ入力!$D$2:$D$19, "")="", 0, _xlfn.XLOOKUP(B721, ①オッズ入力!$A$2:$A$19, ①オッズ入力!$D$2:$D$19, 0)), 0)</f>
        <v>1.2760723715370036E-2</v>
      </c>
      <c r="F721">
        <f>IFERROR(IF(_xlfn.XLOOKUP(C721, ①オッズ入力!$A$2:$A$19, ①オッズ入力!$D$2:$D$19, "")="", 0, _xlfn.XLOOKUP(C721, ①オッズ入力!$A$2:$A$19, ①オッズ入力!$D$2:$D$19, 0)), 0)</f>
        <v>9.8701730395127345E-3</v>
      </c>
      <c r="G721">
        <f t="shared" si="22"/>
        <v>399980.75477999094</v>
      </c>
      <c r="H721">
        <f>IF(G721="", 0, IF(OR(A721=③資金配分!$D$1, A721=③資金配分!$D$2, B721=③資金配分!$D$1, B721=③資金配分!$D$2, C721=③資金配分!$D$1, C721=③資金配分!$D$2), 0, IF(OR(A721=③資金配分!$D$4, A721=③資金配分!$D$5, A721=③資金配分!$D$6, B721=③資金配分!$D$4, B721=③資金配分!$D$5, B721=③資金配分!$D$6, C721=③資金配分!$D$4, C721=③資金配分!$D$5, C721=③資金配分!$D$6), 0, IF(AND(③資金配分!$B$8&gt;0, G721&lt;=③資金配分!$B$8), 1, 0))))</f>
        <v>0</v>
      </c>
      <c r="I721">
        <f t="shared" si="23"/>
        <v>0</v>
      </c>
      <c r="J721">
        <f>IF(I721&gt;0, ROUND((I721 / SUM($I$2:$I$817)) * ③資金配分!$B$7, -2), 0)</f>
        <v>0</v>
      </c>
    </row>
    <row r="722" spans="1:10" x14ac:dyDescent="0.4">
      <c r="A722">
        <v>9</v>
      </c>
      <c r="B722">
        <v>13</v>
      </c>
      <c r="C722">
        <v>17</v>
      </c>
      <c r="D722">
        <f>IFERROR(IF(_xlfn.XLOOKUP(A722, ①オッズ入力!$A$2:$A$19, ①オッズ入力!$D$2:$D$19, "")="", 0, _xlfn.XLOOKUP(A722, ①オッズ入力!$A$2:$A$19, ①オッズ入力!$D$2:$D$19, 0)), 0)</f>
        <v>1.9850014668353389E-2</v>
      </c>
      <c r="E722">
        <f>IFERROR(IF(_xlfn.XLOOKUP(B722, ①オッズ入力!$A$2:$A$19, ①オッズ入力!$D$2:$D$19, "")="", 0, _xlfn.XLOOKUP(B722, ①オッズ入力!$A$2:$A$19, ①オッズ入力!$D$2:$D$19, 0)), 0)</f>
        <v>1.2760723715370036E-2</v>
      </c>
      <c r="F722">
        <f>IFERROR(IF(_xlfn.XLOOKUP(C722, ①オッズ入力!$A$2:$A$19, ①オッズ入力!$D$2:$D$19, "")="", 0, _xlfn.XLOOKUP(C722, ①オッズ入力!$A$2:$A$19, ①オッズ入力!$D$2:$D$19, 0)), 0)</f>
        <v>9.1615452315477186E-3</v>
      </c>
      <c r="G722">
        <f t="shared" si="22"/>
        <v>430918.49271877477</v>
      </c>
      <c r="H722">
        <f>IF(G722="", 0, IF(OR(A722=③資金配分!$D$1, A722=③資金配分!$D$2, B722=③資金配分!$D$1, B722=③資金配分!$D$2, C722=③資金配分!$D$1, C722=③資金配分!$D$2), 0, IF(OR(A722=③資金配分!$D$4, A722=③資金配分!$D$5, A722=③資金配分!$D$6, B722=③資金配分!$D$4, B722=③資金配分!$D$5, B722=③資金配分!$D$6, C722=③資金配分!$D$4, C722=③資金配分!$D$5, C722=③資金配分!$D$6), 0, IF(AND(③資金配分!$B$8&gt;0, G722&lt;=③資金配分!$B$8), 1, 0))))</f>
        <v>0</v>
      </c>
      <c r="I722">
        <f t="shared" si="23"/>
        <v>0</v>
      </c>
      <c r="J722">
        <f>IF(I722&gt;0, ROUND((I722 / SUM($I$2:$I$817)) * ③資金配分!$B$7, -2), 0)</f>
        <v>0</v>
      </c>
    </row>
    <row r="723" spans="1:10" x14ac:dyDescent="0.4">
      <c r="A723">
        <v>9</v>
      </c>
      <c r="B723">
        <v>13</v>
      </c>
      <c r="C723">
        <v>18</v>
      </c>
      <c r="D723">
        <f>IFERROR(IF(_xlfn.XLOOKUP(A723, ①オッズ入力!$A$2:$A$19, ①オッズ入力!$D$2:$D$19, "")="", 0, _xlfn.XLOOKUP(A723, ①オッズ入力!$A$2:$A$19, ①オッズ入力!$D$2:$D$19, 0)), 0)</f>
        <v>1.9850014668353389E-2</v>
      </c>
      <c r="E723">
        <f>IFERROR(IF(_xlfn.XLOOKUP(B723, ①オッズ入力!$A$2:$A$19, ①オッズ入力!$D$2:$D$19, "")="", 0, _xlfn.XLOOKUP(B723, ①オッズ入力!$A$2:$A$19, ①オッズ入力!$D$2:$D$19, 0)), 0)</f>
        <v>1.2760723715370036E-2</v>
      </c>
      <c r="F723">
        <f>IFERROR(IF(_xlfn.XLOOKUP(C723, ①オッズ入力!$A$2:$A$19, ①オッズ入力!$D$2:$D$19, "")="", 0, _xlfn.XLOOKUP(C723, ①オッズ入力!$A$2:$A$19, ①オッズ入力!$D$2:$D$19, 0)), 0)</f>
        <v>8.5478532064679671E-3</v>
      </c>
      <c r="G723">
        <f t="shared" si="22"/>
        <v>461856.2306575586</v>
      </c>
      <c r="H723">
        <f>IF(G723="", 0, IF(OR(A723=③資金配分!$D$1, A723=③資金配分!$D$2, B723=③資金配分!$D$1, B723=③資金配分!$D$2, C723=③資金配分!$D$1, C723=③資金配分!$D$2), 0, IF(OR(A723=③資金配分!$D$4, A723=③資金配分!$D$5, A723=③資金配分!$D$6, B723=③資金配分!$D$4, B723=③資金配分!$D$5, B723=③資金配分!$D$6, C723=③資金配分!$D$4, C723=③資金配分!$D$5, C723=③資金配分!$D$6), 0, IF(AND(③資金配分!$B$8&gt;0, G723&lt;=③資金配分!$B$8), 1, 0))))</f>
        <v>0</v>
      </c>
      <c r="I723">
        <f t="shared" si="23"/>
        <v>0</v>
      </c>
      <c r="J723">
        <f>IF(I723&gt;0, ROUND((I723 / SUM($I$2:$I$817)) * ③資金配分!$B$7, -2), 0)</f>
        <v>0</v>
      </c>
    </row>
    <row r="724" spans="1:10" x14ac:dyDescent="0.4">
      <c r="A724">
        <v>9</v>
      </c>
      <c r="B724">
        <v>14</v>
      </c>
      <c r="C724">
        <v>15</v>
      </c>
      <c r="D724">
        <f>IFERROR(IF(_xlfn.XLOOKUP(A724, ①オッズ入力!$A$2:$A$19, ①オッズ入力!$D$2:$D$19, "")="", 0, _xlfn.XLOOKUP(A724, ①オッズ入力!$A$2:$A$19, ①オッズ入力!$D$2:$D$19, 0)), 0)</f>
        <v>1.9850014668353389E-2</v>
      </c>
      <c r="E724">
        <f>IFERROR(IF(_xlfn.XLOOKUP(B724, ①オッズ入力!$A$2:$A$19, ①オッズ入力!$D$2:$D$19, "")="", 0, _xlfn.XLOOKUP(B724, ①オッズ入力!$A$2:$A$19, ①オッズ入力!$D$2:$D$19, 0)), 0)</f>
        <v>1.1525814968721322E-2</v>
      </c>
      <c r="F724">
        <f>IFERROR(IF(_xlfn.XLOOKUP(C724, ①オッズ入力!$A$2:$A$19, ①オッズ入力!$D$2:$D$19, "")="", 0, _xlfn.XLOOKUP(C724, ①オッズ入力!$A$2:$A$19, ①オッズ入力!$D$2:$D$19, 0)), 0)</f>
        <v>1.0697612695519792E-2</v>
      </c>
      <c r="G724">
        <f t="shared" si="22"/>
        <v>408583.34007419355</v>
      </c>
      <c r="H724">
        <f>IF(G724="", 0, IF(OR(A724=③資金配分!$D$1, A724=③資金配分!$D$2, B724=③資金配分!$D$1, B724=③資金配分!$D$2, C724=③資金配分!$D$1, C724=③資金配分!$D$2), 0, IF(OR(A724=③資金配分!$D$4, A724=③資金配分!$D$5, A724=③資金配分!$D$6, B724=③資金配分!$D$4, B724=③資金配分!$D$5, B724=③資金配分!$D$6, C724=③資金配分!$D$4, C724=③資金配分!$D$5, C724=③資金配分!$D$6), 0, IF(AND(③資金配分!$B$8&gt;0, G724&lt;=③資金配分!$B$8), 1, 0))))</f>
        <v>0</v>
      </c>
      <c r="I724">
        <f t="shared" si="23"/>
        <v>0</v>
      </c>
      <c r="J724">
        <f>IF(I724&gt;0, ROUND((I724 / SUM($I$2:$I$817)) * ③資金配分!$B$7, -2), 0)</f>
        <v>0</v>
      </c>
    </row>
    <row r="725" spans="1:10" x14ac:dyDescent="0.4">
      <c r="A725">
        <v>9</v>
      </c>
      <c r="B725">
        <v>14</v>
      </c>
      <c r="C725">
        <v>16</v>
      </c>
      <c r="D725">
        <f>IFERROR(IF(_xlfn.XLOOKUP(A725, ①オッズ入力!$A$2:$A$19, ①オッズ入力!$D$2:$D$19, "")="", 0, _xlfn.XLOOKUP(A725, ①オッズ入力!$A$2:$A$19, ①オッズ入力!$D$2:$D$19, 0)), 0)</f>
        <v>1.9850014668353389E-2</v>
      </c>
      <c r="E725">
        <f>IFERROR(IF(_xlfn.XLOOKUP(B725, ①オッズ入力!$A$2:$A$19, ①オッズ入力!$D$2:$D$19, "")="", 0, _xlfn.XLOOKUP(B725, ①オッズ入力!$A$2:$A$19, ①オッズ入力!$D$2:$D$19, 0)), 0)</f>
        <v>1.1525814968721322E-2</v>
      </c>
      <c r="F725">
        <f>IFERROR(IF(_xlfn.XLOOKUP(C725, ①オッズ入力!$A$2:$A$19, ①オッズ入力!$D$2:$D$19, "")="", 0, _xlfn.XLOOKUP(C725, ①オッズ入力!$A$2:$A$19, ①オッズ入力!$D$2:$D$19, 0)), 0)</f>
        <v>9.8701730395127345E-3</v>
      </c>
      <c r="G725">
        <f t="shared" si="22"/>
        <v>442835.83564927569</v>
      </c>
      <c r="H725">
        <f>IF(G725="", 0, IF(OR(A725=③資金配分!$D$1, A725=③資金配分!$D$2, B725=③資金配分!$D$1, B725=③資金配分!$D$2, C725=③資金配分!$D$1, C725=③資金配分!$D$2), 0, IF(OR(A725=③資金配分!$D$4, A725=③資金配分!$D$5, A725=③資金配分!$D$6, B725=③資金配分!$D$4, B725=③資金配分!$D$5, B725=③資金配分!$D$6, C725=③資金配分!$D$4, C725=③資金配分!$D$5, C725=③資金配分!$D$6), 0, IF(AND(③資金配分!$B$8&gt;0, G725&lt;=③資金配分!$B$8), 1, 0))))</f>
        <v>0</v>
      </c>
      <c r="I725">
        <f t="shared" si="23"/>
        <v>0</v>
      </c>
      <c r="J725">
        <f>IF(I725&gt;0, ROUND((I725 / SUM($I$2:$I$817)) * ③資金配分!$B$7, -2), 0)</f>
        <v>0</v>
      </c>
    </row>
    <row r="726" spans="1:10" x14ac:dyDescent="0.4">
      <c r="A726">
        <v>9</v>
      </c>
      <c r="B726">
        <v>14</v>
      </c>
      <c r="C726">
        <v>17</v>
      </c>
      <c r="D726">
        <f>IFERROR(IF(_xlfn.XLOOKUP(A726, ①オッズ入力!$A$2:$A$19, ①オッズ入力!$D$2:$D$19, "")="", 0, _xlfn.XLOOKUP(A726, ①オッズ入力!$A$2:$A$19, ①オッズ入力!$D$2:$D$19, 0)), 0)</f>
        <v>1.9850014668353389E-2</v>
      </c>
      <c r="E726">
        <f>IFERROR(IF(_xlfn.XLOOKUP(B726, ①オッズ入力!$A$2:$A$19, ①オッズ入力!$D$2:$D$19, "")="", 0, _xlfn.XLOOKUP(B726, ①オッズ入力!$A$2:$A$19, ①オッズ入力!$D$2:$D$19, 0)), 0)</f>
        <v>1.1525814968721322E-2</v>
      </c>
      <c r="F726">
        <f>IFERROR(IF(_xlfn.XLOOKUP(C726, ①オッズ入力!$A$2:$A$19, ①オッズ入力!$D$2:$D$19, "")="", 0, _xlfn.XLOOKUP(C726, ①オッズ入力!$A$2:$A$19, ①オッズ入力!$D$2:$D$19, 0)), 0)</f>
        <v>9.1615452315477186E-3</v>
      </c>
      <c r="G726">
        <f t="shared" si="22"/>
        <v>477088.33122435771</v>
      </c>
      <c r="H726">
        <f>IF(G726="", 0, IF(OR(A726=③資金配分!$D$1, A726=③資金配分!$D$2, B726=③資金配分!$D$1, B726=③資金配分!$D$2, C726=③資金配分!$D$1, C726=③資金配分!$D$2), 0, IF(OR(A726=③資金配分!$D$4, A726=③資金配分!$D$5, A726=③資金配分!$D$6, B726=③資金配分!$D$4, B726=③資金配分!$D$5, B726=③資金配分!$D$6, C726=③資金配分!$D$4, C726=③資金配分!$D$5, C726=③資金配分!$D$6), 0, IF(AND(③資金配分!$B$8&gt;0, G726&lt;=③資金配分!$B$8), 1, 0))))</f>
        <v>0</v>
      </c>
      <c r="I726">
        <f t="shared" si="23"/>
        <v>0</v>
      </c>
      <c r="J726">
        <f>IF(I726&gt;0, ROUND((I726 / SUM($I$2:$I$817)) * ③資金配分!$B$7, -2), 0)</f>
        <v>0</v>
      </c>
    </row>
    <row r="727" spans="1:10" x14ac:dyDescent="0.4">
      <c r="A727">
        <v>9</v>
      </c>
      <c r="B727">
        <v>14</v>
      </c>
      <c r="C727">
        <v>18</v>
      </c>
      <c r="D727">
        <f>IFERROR(IF(_xlfn.XLOOKUP(A727, ①オッズ入力!$A$2:$A$19, ①オッズ入力!$D$2:$D$19, "")="", 0, _xlfn.XLOOKUP(A727, ①オッズ入力!$A$2:$A$19, ①オッズ入力!$D$2:$D$19, 0)), 0)</f>
        <v>1.9850014668353389E-2</v>
      </c>
      <c r="E727">
        <f>IFERROR(IF(_xlfn.XLOOKUP(B727, ①オッズ入力!$A$2:$A$19, ①オッズ入力!$D$2:$D$19, "")="", 0, _xlfn.XLOOKUP(B727, ①オッズ入力!$A$2:$A$19, ①オッズ入力!$D$2:$D$19, 0)), 0)</f>
        <v>1.1525814968721322E-2</v>
      </c>
      <c r="F727">
        <f>IFERROR(IF(_xlfn.XLOOKUP(C727, ①オッズ入力!$A$2:$A$19, ①オッズ入力!$D$2:$D$19, "")="", 0, _xlfn.XLOOKUP(C727, ①オッズ入力!$A$2:$A$19, ①オッズ入力!$D$2:$D$19, 0)), 0)</f>
        <v>8.5478532064679671E-3</v>
      </c>
      <c r="G727">
        <f t="shared" si="22"/>
        <v>511340.82679943979</v>
      </c>
      <c r="H727">
        <f>IF(G727="", 0, IF(OR(A727=③資金配分!$D$1, A727=③資金配分!$D$2, B727=③資金配分!$D$1, B727=③資金配分!$D$2, C727=③資金配分!$D$1, C727=③資金配分!$D$2), 0, IF(OR(A727=③資金配分!$D$4, A727=③資金配分!$D$5, A727=③資金配分!$D$6, B727=③資金配分!$D$4, B727=③資金配分!$D$5, B727=③資金配分!$D$6, C727=③資金配分!$D$4, C727=③資金配分!$D$5, C727=③資金配分!$D$6), 0, IF(AND(③資金配分!$B$8&gt;0, G727&lt;=③資金配分!$B$8), 1, 0))))</f>
        <v>0</v>
      </c>
      <c r="I727">
        <f t="shared" si="23"/>
        <v>0</v>
      </c>
      <c r="J727">
        <f>IF(I727&gt;0, ROUND((I727 / SUM($I$2:$I$817)) * ③資金配分!$B$7, -2), 0)</f>
        <v>0</v>
      </c>
    </row>
    <row r="728" spans="1:10" x14ac:dyDescent="0.4">
      <c r="A728">
        <v>9</v>
      </c>
      <c r="B728">
        <v>15</v>
      </c>
      <c r="C728">
        <v>16</v>
      </c>
      <c r="D728">
        <f>IFERROR(IF(_xlfn.XLOOKUP(A728, ①オッズ入力!$A$2:$A$19, ①オッズ入力!$D$2:$D$19, "")="", 0, _xlfn.XLOOKUP(A728, ①オッズ入力!$A$2:$A$19, ①オッズ入力!$D$2:$D$19, 0)), 0)</f>
        <v>1.9850014668353389E-2</v>
      </c>
      <c r="E728">
        <f>IFERROR(IF(_xlfn.XLOOKUP(B728, ①オッズ入力!$A$2:$A$19, ①オッズ入力!$D$2:$D$19, "")="", 0, _xlfn.XLOOKUP(B728, ①オッズ入力!$A$2:$A$19, ①オッズ入力!$D$2:$D$19, 0)), 0)</f>
        <v>1.0697612695519792E-2</v>
      </c>
      <c r="F728">
        <f>IFERROR(IF(_xlfn.XLOOKUP(C728, ①オッズ入力!$A$2:$A$19, ①オッズ入力!$D$2:$D$19, "")="", 0, _xlfn.XLOOKUP(C728, ①オッズ入力!$A$2:$A$19, ①オッズ入力!$D$2:$D$19, 0)), 0)</f>
        <v>9.8701730395127345E-3</v>
      </c>
      <c r="G728">
        <f t="shared" si="22"/>
        <v>477119.9003447034</v>
      </c>
      <c r="H728">
        <f>IF(G728="", 0, IF(OR(A728=③資金配分!$D$1, A728=③資金配分!$D$2, B728=③資金配分!$D$1, B728=③資金配分!$D$2, C728=③資金配分!$D$1, C728=③資金配分!$D$2), 0, IF(OR(A728=③資金配分!$D$4, A728=③資金配分!$D$5, A728=③資金配分!$D$6, B728=③資金配分!$D$4, B728=③資金配分!$D$5, B728=③資金配分!$D$6, C728=③資金配分!$D$4, C728=③資金配分!$D$5, C728=③資金配分!$D$6), 0, IF(AND(③資金配分!$B$8&gt;0, G728&lt;=③資金配分!$B$8), 1, 0))))</f>
        <v>0</v>
      </c>
      <c r="I728">
        <f t="shared" si="23"/>
        <v>0</v>
      </c>
      <c r="J728">
        <f>IF(I728&gt;0, ROUND((I728 / SUM($I$2:$I$817)) * ③資金配分!$B$7, -2), 0)</f>
        <v>0</v>
      </c>
    </row>
    <row r="729" spans="1:10" x14ac:dyDescent="0.4">
      <c r="A729">
        <v>9</v>
      </c>
      <c r="B729">
        <v>15</v>
      </c>
      <c r="C729">
        <v>17</v>
      </c>
      <c r="D729">
        <f>IFERROR(IF(_xlfn.XLOOKUP(A729, ①オッズ入力!$A$2:$A$19, ①オッズ入力!$D$2:$D$19, "")="", 0, _xlfn.XLOOKUP(A729, ①オッズ入力!$A$2:$A$19, ①オッズ入力!$D$2:$D$19, 0)), 0)</f>
        <v>1.9850014668353389E-2</v>
      </c>
      <c r="E729">
        <f>IFERROR(IF(_xlfn.XLOOKUP(B729, ①オッズ入力!$A$2:$A$19, ①オッズ入力!$D$2:$D$19, "")="", 0, _xlfn.XLOOKUP(B729, ①オッズ入力!$A$2:$A$19, ①オッズ入力!$D$2:$D$19, 0)), 0)</f>
        <v>1.0697612695519792E-2</v>
      </c>
      <c r="F729">
        <f>IFERROR(IF(_xlfn.XLOOKUP(C729, ①オッズ入力!$A$2:$A$19, ①オッズ入力!$D$2:$D$19, "")="", 0, _xlfn.XLOOKUP(C729, ①オッズ入力!$A$2:$A$19, ①オッズ入力!$D$2:$D$19, 0)), 0)</f>
        <v>9.1615452315477186E-3</v>
      </c>
      <c r="G729">
        <f t="shared" si="22"/>
        <v>514024.20202882413</v>
      </c>
      <c r="H729">
        <f>IF(G729="", 0, IF(OR(A729=③資金配分!$D$1, A729=③資金配分!$D$2, B729=③資金配分!$D$1, B729=③資金配分!$D$2, C729=③資金配分!$D$1, C729=③資金配分!$D$2), 0, IF(OR(A729=③資金配分!$D$4, A729=③資金配分!$D$5, A729=③資金配分!$D$6, B729=③資金配分!$D$4, B729=③資金配分!$D$5, B729=③資金配分!$D$6, C729=③資金配分!$D$4, C729=③資金配分!$D$5, C729=③資金配分!$D$6), 0, IF(AND(③資金配分!$B$8&gt;0, G729&lt;=③資金配分!$B$8), 1, 0))))</f>
        <v>0</v>
      </c>
      <c r="I729">
        <f t="shared" si="23"/>
        <v>0</v>
      </c>
      <c r="J729">
        <f>IF(I729&gt;0, ROUND((I729 / SUM($I$2:$I$817)) * ③資金配分!$B$7, -2), 0)</f>
        <v>0</v>
      </c>
    </row>
    <row r="730" spans="1:10" x14ac:dyDescent="0.4">
      <c r="A730">
        <v>9</v>
      </c>
      <c r="B730">
        <v>15</v>
      </c>
      <c r="C730">
        <v>18</v>
      </c>
      <c r="D730">
        <f>IFERROR(IF(_xlfn.XLOOKUP(A730, ①オッズ入力!$A$2:$A$19, ①オッズ入力!$D$2:$D$19, "")="", 0, _xlfn.XLOOKUP(A730, ①オッズ入力!$A$2:$A$19, ①オッズ入力!$D$2:$D$19, 0)), 0)</f>
        <v>1.9850014668353389E-2</v>
      </c>
      <c r="E730">
        <f>IFERROR(IF(_xlfn.XLOOKUP(B730, ①オッズ入力!$A$2:$A$19, ①オッズ入力!$D$2:$D$19, "")="", 0, _xlfn.XLOOKUP(B730, ①オッズ入力!$A$2:$A$19, ①オッズ入力!$D$2:$D$19, 0)), 0)</f>
        <v>1.0697612695519792E-2</v>
      </c>
      <c r="F730">
        <f>IFERROR(IF(_xlfn.XLOOKUP(C730, ①オッズ入力!$A$2:$A$19, ①オッズ入力!$D$2:$D$19, "")="", 0, _xlfn.XLOOKUP(C730, ①オッズ入力!$A$2:$A$19, ①オッズ入力!$D$2:$D$19, 0)), 0)</f>
        <v>8.5478532064679671E-3</v>
      </c>
      <c r="G730">
        <f t="shared" si="22"/>
        <v>550928.5037129448</v>
      </c>
      <c r="H730">
        <f>IF(G730="", 0, IF(OR(A730=③資金配分!$D$1, A730=③資金配分!$D$2, B730=③資金配分!$D$1, B730=③資金配分!$D$2, C730=③資金配分!$D$1, C730=③資金配分!$D$2), 0, IF(OR(A730=③資金配分!$D$4, A730=③資金配分!$D$5, A730=③資金配分!$D$6, B730=③資金配分!$D$4, B730=③資金配分!$D$5, B730=③資金配分!$D$6, C730=③資金配分!$D$4, C730=③資金配分!$D$5, C730=③資金配分!$D$6), 0, IF(AND(③資金配分!$B$8&gt;0, G730&lt;=③資金配分!$B$8), 1, 0))))</f>
        <v>0</v>
      </c>
      <c r="I730">
        <f t="shared" si="23"/>
        <v>0</v>
      </c>
      <c r="J730">
        <f>IF(I730&gt;0, ROUND((I730 / SUM($I$2:$I$817)) * ③資金配分!$B$7, -2), 0)</f>
        <v>0</v>
      </c>
    </row>
    <row r="731" spans="1:10" x14ac:dyDescent="0.4">
      <c r="A731">
        <v>9</v>
      </c>
      <c r="B731">
        <v>16</v>
      </c>
      <c r="C731">
        <v>17</v>
      </c>
      <c r="D731">
        <f>IFERROR(IF(_xlfn.XLOOKUP(A731, ①オッズ入力!$A$2:$A$19, ①オッズ入力!$D$2:$D$19, "")="", 0, _xlfn.XLOOKUP(A731, ①オッズ入力!$A$2:$A$19, ①オッズ入力!$D$2:$D$19, 0)), 0)</f>
        <v>1.9850014668353389E-2</v>
      </c>
      <c r="E731">
        <f>IFERROR(IF(_xlfn.XLOOKUP(B731, ①オッズ入力!$A$2:$A$19, ①オッズ入力!$D$2:$D$19, "")="", 0, _xlfn.XLOOKUP(B731, ①オッズ入力!$A$2:$A$19, ①オッズ入力!$D$2:$D$19, 0)), 0)</f>
        <v>9.8701730395127345E-3</v>
      </c>
      <c r="F731">
        <f>IFERROR(IF(_xlfn.XLOOKUP(C731, ①オッズ入力!$A$2:$A$19, ①オッズ入力!$D$2:$D$19, "")="", 0, _xlfn.XLOOKUP(C731, ①オッズ入力!$A$2:$A$19, ①オッズ入力!$D$2:$D$19, 0)), 0)</f>
        <v>9.1615452315477186E-3</v>
      </c>
      <c r="G731">
        <f t="shared" si="22"/>
        <v>557116.05130070157</v>
      </c>
      <c r="H731">
        <f>IF(G731="", 0, IF(OR(A731=③資金配分!$D$1, A731=③資金配分!$D$2, B731=③資金配分!$D$1, B731=③資金配分!$D$2, C731=③資金配分!$D$1, C731=③資金配分!$D$2), 0, IF(OR(A731=③資金配分!$D$4, A731=③資金配分!$D$5, A731=③資金配分!$D$6, B731=③資金配分!$D$4, B731=③資金配分!$D$5, B731=③資金配分!$D$6, C731=③資金配分!$D$4, C731=③資金配分!$D$5, C731=③資金配分!$D$6), 0, IF(AND(③資金配分!$B$8&gt;0, G731&lt;=③資金配分!$B$8), 1, 0))))</f>
        <v>0</v>
      </c>
      <c r="I731">
        <f t="shared" si="23"/>
        <v>0</v>
      </c>
      <c r="J731">
        <f>IF(I731&gt;0, ROUND((I731 / SUM($I$2:$I$817)) * ③資金配分!$B$7, -2), 0)</f>
        <v>0</v>
      </c>
    </row>
    <row r="732" spans="1:10" x14ac:dyDescent="0.4">
      <c r="A732">
        <v>9</v>
      </c>
      <c r="B732">
        <v>16</v>
      </c>
      <c r="C732">
        <v>18</v>
      </c>
      <c r="D732">
        <f>IFERROR(IF(_xlfn.XLOOKUP(A732, ①オッズ入力!$A$2:$A$19, ①オッズ入力!$D$2:$D$19, "")="", 0, _xlfn.XLOOKUP(A732, ①オッズ入力!$A$2:$A$19, ①オッズ入力!$D$2:$D$19, 0)), 0)</f>
        <v>1.9850014668353389E-2</v>
      </c>
      <c r="E732">
        <f>IFERROR(IF(_xlfn.XLOOKUP(B732, ①オッズ入力!$A$2:$A$19, ①オッズ入力!$D$2:$D$19, "")="", 0, _xlfn.XLOOKUP(B732, ①オッズ入力!$A$2:$A$19, ①オッズ入力!$D$2:$D$19, 0)), 0)</f>
        <v>9.8701730395127345E-3</v>
      </c>
      <c r="F732">
        <f>IFERROR(IF(_xlfn.XLOOKUP(C732, ①オッズ入力!$A$2:$A$19, ①オッズ入力!$D$2:$D$19, "")="", 0, _xlfn.XLOOKUP(C732, ①オッズ入力!$A$2:$A$19, ①オッズ入力!$D$2:$D$19, 0)), 0)</f>
        <v>8.5478532064679671E-3</v>
      </c>
      <c r="G732">
        <f t="shared" si="22"/>
        <v>597114.12677870074</v>
      </c>
      <c r="H732">
        <f>IF(G732="", 0, IF(OR(A732=③資金配分!$D$1, A732=③資金配分!$D$2, B732=③資金配分!$D$1, B732=③資金配分!$D$2, C732=③資金配分!$D$1, C732=③資金配分!$D$2), 0, IF(OR(A732=③資金配分!$D$4, A732=③資金配分!$D$5, A732=③資金配分!$D$6, B732=③資金配分!$D$4, B732=③資金配分!$D$5, B732=③資金配分!$D$6, C732=③資金配分!$D$4, C732=③資金配分!$D$5, C732=③資金配分!$D$6), 0, IF(AND(③資金配分!$B$8&gt;0, G732&lt;=③資金配分!$B$8), 1, 0))))</f>
        <v>0</v>
      </c>
      <c r="I732">
        <f t="shared" si="23"/>
        <v>0</v>
      </c>
      <c r="J732">
        <f>IF(I732&gt;0, ROUND((I732 / SUM($I$2:$I$817)) * ③資金配分!$B$7, -2), 0)</f>
        <v>0</v>
      </c>
    </row>
    <row r="733" spans="1:10" x14ac:dyDescent="0.4">
      <c r="A733">
        <v>9</v>
      </c>
      <c r="B733">
        <v>17</v>
      </c>
      <c r="C733">
        <v>18</v>
      </c>
      <c r="D733">
        <f>IFERROR(IF(_xlfn.XLOOKUP(A733, ①オッズ入力!$A$2:$A$19, ①オッズ入力!$D$2:$D$19, "")="", 0, _xlfn.XLOOKUP(A733, ①オッズ入力!$A$2:$A$19, ①オッズ入力!$D$2:$D$19, 0)), 0)</f>
        <v>1.9850014668353389E-2</v>
      </c>
      <c r="E733">
        <f>IFERROR(IF(_xlfn.XLOOKUP(B733, ①オッズ入力!$A$2:$A$19, ①オッズ入力!$D$2:$D$19, "")="", 0, _xlfn.XLOOKUP(B733, ①オッズ入力!$A$2:$A$19, ①オッズ入力!$D$2:$D$19, 0)), 0)</f>
        <v>9.1615452315477186E-3</v>
      </c>
      <c r="F733">
        <f>IFERROR(IF(_xlfn.XLOOKUP(C733, ①オッズ入力!$A$2:$A$19, ①オッズ入力!$D$2:$D$19, "")="", 0, _xlfn.XLOOKUP(C733, ①オッズ入力!$A$2:$A$19, ①オッズ入力!$D$2:$D$19, 0)), 0)</f>
        <v>8.5478532064679671E-3</v>
      </c>
      <c r="G733">
        <f t="shared" si="22"/>
        <v>643299.74984445656</v>
      </c>
      <c r="H733">
        <f>IF(G733="", 0, IF(OR(A733=③資金配分!$D$1, A733=③資金配分!$D$2, B733=③資金配分!$D$1, B733=③資金配分!$D$2, C733=③資金配分!$D$1, C733=③資金配分!$D$2), 0, IF(OR(A733=③資金配分!$D$4, A733=③資金配分!$D$5, A733=③資金配分!$D$6, B733=③資金配分!$D$4, B733=③資金配分!$D$5, B733=③資金配分!$D$6, C733=③資金配分!$D$4, C733=③資金配分!$D$5, C733=③資金配分!$D$6), 0, IF(AND(③資金配分!$B$8&gt;0, G733&lt;=③資金配分!$B$8), 1, 0))))</f>
        <v>0</v>
      </c>
      <c r="I733">
        <f t="shared" si="23"/>
        <v>0</v>
      </c>
      <c r="J733">
        <f>IF(I733&gt;0, ROUND((I733 / SUM($I$2:$I$817)) * ③資金配分!$B$7, -2), 0)</f>
        <v>0</v>
      </c>
    </row>
    <row r="734" spans="1:10" x14ac:dyDescent="0.4">
      <c r="A734">
        <v>10</v>
      </c>
      <c r="B734">
        <v>11</v>
      </c>
      <c r="C734">
        <v>12</v>
      </c>
      <c r="D734">
        <f>IFERROR(IF(_xlfn.XLOOKUP(A734, ①オッズ入力!$A$2:$A$19, ①オッズ入力!$D$2:$D$19, "")="", 0, _xlfn.XLOOKUP(A734, ①オッズ入力!$A$2:$A$19, ①オッズ入力!$D$2:$D$19, 0)), 0)</f>
        <v>1.7865013201518051E-2</v>
      </c>
      <c r="E734">
        <f>IFERROR(IF(_xlfn.XLOOKUP(B734, ①オッズ入力!$A$2:$A$19, ①オッズ入力!$D$2:$D$19, "")="", 0, _xlfn.XLOOKUP(B734, ①オッズ入力!$A$2:$A$19, ①オッズ入力!$D$2:$D$19, 0)), 0)</f>
        <v>1.6240921092289137E-2</v>
      </c>
      <c r="F734">
        <f>IFERROR(IF(_xlfn.XLOOKUP(C734, ①オッズ入力!$A$2:$A$19, ①オッズ入力!$D$2:$D$19, "")="", 0, _xlfn.XLOOKUP(C734, ①オッズ入力!$A$2:$A$19, ①オッズ入力!$D$2:$D$19, 0)), 0)</f>
        <v>1.4887511001265043E-2</v>
      </c>
      <c r="G734">
        <f t="shared" si="22"/>
        <v>231506.88253511707</v>
      </c>
      <c r="H734">
        <f>IF(G734="", 0, IF(OR(A734=③資金配分!$D$1, A734=③資金配分!$D$2, B734=③資金配分!$D$1, B734=③資金配分!$D$2, C734=③資金配分!$D$1, C734=③資金配分!$D$2), 0, IF(OR(A734=③資金配分!$D$4, A734=③資金配分!$D$5, A734=③資金配分!$D$6, B734=③資金配分!$D$4, B734=③資金配分!$D$5, B734=③資金配分!$D$6, C734=③資金配分!$D$4, C734=③資金配分!$D$5, C734=③資金配分!$D$6), 0, IF(AND(③資金配分!$B$8&gt;0, G734&lt;=③資金配分!$B$8), 1, 0))))</f>
        <v>0</v>
      </c>
      <c r="I734">
        <f t="shared" si="23"/>
        <v>0</v>
      </c>
      <c r="J734">
        <f>IF(I734&gt;0, ROUND((I734 / SUM($I$2:$I$817)) * ③資金配分!$B$7, -2), 0)</f>
        <v>0</v>
      </c>
    </row>
    <row r="735" spans="1:10" x14ac:dyDescent="0.4">
      <c r="A735">
        <v>10</v>
      </c>
      <c r="B735">
        <v>11</v>
      </c>
      <c r="C735">
        <v>13</v>
      </c>
      <c r="D735">
        <f>IFERROR(IF(_xlfn.XLOOKUP(A735, ①オッズ入力!$A$2:$A$19, ①オッズ入力!$D$2:$D$19, "")="", 0, _xlfn.XLOOKUP(A735, ①オッズ入力!$A$2:$A$19, ①オッズ入力!$D$2:$D$19, 0)), 0)</f>
        <v>1.7865013201518051E-2</v>
      </c>
      <c r="E735">
        <f>IFERROR(IF(_xlfn.XLOOKUP(B735, ①オッズ入力!$A$2:$A$19, ①オッズ入力!$D$2:$D$19, "")="", 0, _xlfn.XLOOKUP(B735, ①オッズ入力!$A$2:$A$19, ①オッズ入力!$D$2:$D$19, 0)), 0)</f>
        <v>1.6240921092289137E-2</v>
      </c>
      <c r="F735">
        <f>IFERROR(IF(_xlfn.XLOOKUP(C735, ①オッズ入力!$A$2:$A$19, ①オッズ入力!$D$2:$D$19, "")="", 0, _xlfn.XLOOKUP(C735, ①オッズ入力!$A$2:$A$19, ①オッズ入力!$D$2:$D$19, 0)), 0)</f>
        <v>1.2760723715370036E-2</v>
      </c>
      <c r="G735">
        <f t="shared" si="22"/>
        <v>270091.36295763659</v>
      </c>
      <c r="H735">
        <f>IF(G735="", 0, IF(OR(A735=③資金配分!$D$1, A735=③資金配分!$D$2, B735=③資金配分!$D$1, B735=③資金配分!$D$2, C735=③資金配分!$D$1, C735=③資金配分!$D$2), 0, IF(OR(A735=③資金配分!$D$4, A735=③資金配分!$D$5, A735=③資金配分!$D$6, B735=③資金配分!$D$4, B735=③資金配分!$D$5, B735=③資金配分!$D$6, C735=③資金配分!$D$4, C735=③資金配分!$D$5, C735=③資金配分!$D$6), 0, IF(AND(③資金配分!$B$8&gt;0, G735&lt;=③資金配分!$B$8), 1, 0))))</f>
        <v>0</v>
      </c>
      <c r="I735">
        <f t="shared" si="23"/>
        <v>0</v>
      </c>
      <c r="J735">
        <f>IF(I735&gt;0, ROUND((I735 / SUM($I$2:$I$817)) * ③資金配分!$B$7, -2), 0)</f>
        <v>0</v>
      </c>
    </row>
    <row r="736" spans="1:10" x14ac:dyDescent="0.4">
      <c r="A736">
        <v>10</v>
      </c>
      <c r="B736">
        <v>11</v>
      </c>
      <c r="C736">
        <v>14</v>
      </c>
      <c r="D736">
        <f>IFERROR(IF(_xlfn.XLOOKUP(A736, ①オッズ入力!$A$2:$A$19, ①オッズ入力!$D$2:$D$19, "")="", 0, _xlfn.XLOOKUP(A736, ①オッズ入力!$A$2:$A$19, ①オッズ入力!$D$2:$D$19, 0)), 0)</f>
        <v>1.7865013201518051E-2</v>
      </c>
      <c r="E736">
        <f>IFERROR(IF(_xlfn.XLOOKUP(B736, ①オッズ入力!$A$2:$A$19, ①オッズ入力!$D$2:$D$19, "")="", 0, _xlfn.XLOOKUP(B736, ①オッズ入力!$A$2:$A$19, ①オッズ入力!$D$2:$D$19, 0)), 0)</f>
        <v>1.6240921092289137E-2</v>
      </c>
      <c r="F736">
        <f>IFERROR(IF(_xlfn.XLOOKUP(C736, ①オッズ入力!$A$2:$A$19, ①オッズ入力!$D$2:$D$19, "")="", 0, _xlfn.XLOOKUP(C736, ①オッズ入力!$A$2:$A$19, ①オッズ入力!$D$2:$D$19, 0)), 0)</f>
        <v>1.1525814968721322E-2</v>
      </c>
      <c r="G736">
        <f t="shared" si="22"/>
        <v>299029.72327452624</v>
      </c>
      <c r="H736">
        <f>IF(G736="", 0, IF(OR(A736=③資金配分!$D$1, A736=③資金配分!$D$2, B736=③資金配分!$D$1, B736=③資金配分!$D$2, C736=③資金配分!$D$1, C736=③資金配分!$D$2), 0, IF(OR(A736=③資金配分!$D$4, A736=③資金配分!$D$5, A736=③資金配分!$D$6, B736=③資金配分!$D$4, B736=③資金配分!$D$5, B736=③資金配分!$D$6, C736=③資金配分!$D$4, C736=③資金配分!$D$5, C736=③資金配分!$D$6), 0, IF(AND(③資金配分!$B$8&gt;0, G736&lt;=③資金配分!$B$8), 1, 0))))</f>
        <v>0</v>
      </c>
      <c r="I736">
        <f t="shared" si="23"/>
        <v>0</v>
      </c>
      <c r="J736">
        <f>IF(I736&gt;0, ROUND((I736 / SUM($I$2:$I$817)) * ③資金配分!$B$7, -2), 0)</f>
        <v>0</v>
      </c>
    </row>
    <row r="737" spans="1:10" x14ac:dyDescent="0.4">
      <c r="A737">
        <v>10</v>
      </c>
      <c r="B737">
        <v>11</v>
      </c>
      <c r="C737">
        <v>15</v>
      </c>
      <c r="D737">
        <f>IFERROR(IF(_xlfn.XLOOKUP(A737, ①オッズ入力!$A$2:$A$19, ①オッズ入力!$D$2:$D$19, "")="", 0, _xlfn.XLOOKUP(A737, ①オッズ入力!$A$2:$A$19, ①オッズ入力!$D$2:$D$19, 0)), 0)</f>
        <v>1.7865013201518051E-2</v>
      </c>
      <c r="E737">
        <f>IFERROR(IF(_xlfn.XLOOKUP(B737, ①オッズ入力!$A$2:$A$19, ①オッズ入力!$D$2:$D$19, "")="", 0, _xlfn.XLOOKUP(B737, ①オッズ入力!$A$2:$A$19, ①オッズ入力!$D$2:$D$19, 0)), 0)</f>
        <v>1.6240921092289137E-2</v>
      </c>
      <c r="F737">
        <f>IFERROR(IF(_xlfn.XLOOKUP(C737, ①オッズ入力!$A$2:$A$19, ①オッズ入力!$D$2:$D$19, "")="", 0, _xlfn.XLOOKUP(C737, ①オッズ入力!$A$2:$A$19, ①オッズ入力!$D$2:$D$19, 0)), 0)</f>
        <v>1.0697612695519792E-2</v>
      </c>
      <c r="G737">
        <f t="shared" si="22"/>
        <v>322180.41152803786</v>
      </c>
      <c r="H737">
        <f>IF(G737="", 0, IF(OR(A737=③資金配分!$D$1, A737=③資金配分!$D$2, B737=③資金配分!$D$1, B737=③資金配分!$D$2, C737=③資金配分!$D$1, C737=③資金配分!$D$2), 0, IF(OR(A737=③資金配分!$D$4, A737=③資金配分!$D$5, A737=③資金配分!$D$6, B737=③資金配分!$D$4, B737=③資金配分!$D$5, B737=③資金配分!$D$6, C737=③資金配分!$D$4, C737=③資金配分!$D$5, C737=③資金配分!$D$6), 0, IF(AND(③資金配分!$B$8&gt;0, G737&lt;=③資金配分!$B$8), 1, 0))))</f>
        <v>0</v>
      </c>
      <c r="I737">
        <f t="shared" si="23"/>
        <v>0</v>
      </c>
      <c r="J737">
        <f>IF(I737&gt;0, ROUND((I737 / SUM($I$2:$I$817)) * ③資金配分!$B$7, -2), 0)</f>
        <v>0</v>
      </c>
    </row>
    <row r="738" spans="1:10" x14ac:dyDescent="0.4">
      <c r="A738">
        <v>10</v>
      </c>
      <c r="B738">
        <v>11</v>
      </c>
      <c r="C738">
        <v>16</v>
      </c>
      <c r="D738">
        <f>IFERROR(IF(_xlfn.XLOOKUP(A738, ①オッズ入力!$A$2:$A$19, ①オッズ入力!$D$2:$D$19, "")="", 0, _xlfn.XLOOKUP(A738, ①オッズ入力!$A$2:$A$19, ①オッズ入力!$D$2:$D$19, 0)), 0)</f>
        <v>1.7865013201518051E-2</v>
      </c>
      <c r="E738">
        <f>IFERROR(IF(_xlfn.XLOOKUP(B738, ①オッズ入力!$A$2:$A$19, ①オッズ入力!$D$2:$D$19, "")="", 0, _xlfn.XLOOKUP(B738, ①オッズ入力!$A$2:$A$19, ①オッズ入力!$D$2:$D$19, 0)), 0)</f>
        <v>1.6240921092289137E-2</v>
      </c>
      <c r="F738">
        <f>IFERROR(IF(_xlfn.XLOOKUP(C738, ①オッズ入力!$A$2:$A$19, ①オッズ入力!$D$2:$D$19, "")="", 0, _xlfn.XLOOKUP(C738, ①オッズ入力!$A$2:$A$19, ①オッズ入力!$D$2:$D$19, 0)), 0)</f>
        <v>9.8701730395127345E-3</v>
      </c>
      <c r="G738">
        <f t="shared" si="22"/>
        <v>349189.54782380158</v>
      </c>
      <c r="H738">
        <f>IF(G738="", 0, IF(OR(A738=③資金配分!$D$1, A738=③資金配分!$D$2, B738=③資金配分!$D$1, B738=③資金配分!$D$2, C738=③資金配分!$D$1, C738=③資金配分!$D$2), 0, IF(OR(A738=③資金配分!$D$4, A738=③資金配分!$D$5, A738=③資金配分!$D$6, B738=③資金配分!$D$4, B738=③資金配分!$D$5, B738=③資金配分!$D$6, C738=③資金配分!$D$4, C738=③資金配分!$D$5, C738=③資金配分!$D$6), 0, IF(AND(③資金配分!$B$8&gt;0, G738&lt;=③資金配分!$B$8), 1, 0))))</f>
        <v>0</v>
      </c>
      <c r="I738">
        <f t="shared" si="23"/>
        <v>0</v>
      </c>
      <c r="J738">
        <f>IF(I738&gt;0, ROUND((I738 / SUM($I$2:$I$817)) * ③資金配分!$B$7, -2), 0)</f>
        <v>0</v>
      </c>
    </row>
    <row r="739" spans="1:10" x14ac:dyDescent="0.4">
      <c r="A739">
        <v>10</v>
      </c>
      <c r="B739">
        <v>11</v>
      </c>
      <c r="C739">
        <v>17</v>
      </c>
      <c r="D739">
        <f>IFERROR(IF(_xlfn.XLOOKUP(A739, ①オッズ入力!$A$2:$A$19, ①オッズ入力!$D$2:$D$19, "")="", 0, _xlfn.XLOOKUP(A739, ①オッズ入力!$A$2:$A$19, ①オッズ入力!$D$2:$D$19, 0)), 0)</f>
        <v>1.7865013201518051E-2</v>
      </c>
      <c r="E739">
        <f>IFERROR(IF(_xlfn.XLOOKUP(B739, ①オッズ入力!$A$2:$A$19, ①オッズ入力!$D$2:$D$19, "")="", 0, _xlfn.XLOOKUP(B739, ①オッズ入力!$A$2:$A$19, ①オッズ入力!$D$2:$D$19, 0)), 0)</f>
        <v>1.6240921092289137E-2</v>
      </c>
      <c r="F739">
        <f>IFERROR(IF(_xlfn.XLOOKUP(C739, ①オッズ入力!$A$2:$A$19, ①オッズ入力!$D$2:$D$19, "")="", 0, _xlfn.XLOOKUP(C739, ①オッズ入力!$A$2:$A$19, ①オッズ入力!$D$2:$D$19, 0)), 0)</f>
        <v>9.1615452315477186E-3</v>
      </c>
      <c r="G739">
        <f t="shared" si="22"/>
        <v>376198.68411956518</v>
      </c>
      <c r="H739">
        <f>IF(G739="", 0, IF(OR(A739=③資金配分!$D$1, A739=③資金配分!$D$2, B739=③資金配分!$D$1, B739=③資金配分!$D$2, C739=③資金配分!$D$1, C739=③資金配分!$D$2), 0, IF(OR(A739=③資金配分!$D$4, A739=③資金配分!$D$5, A739=③資金配分!$D$6, B739=③資金配分!$D$4, B739=③資金配分!$D$5, B739=③資金配分!$D$6, C739=③資金配分!$D$4, C739=③資金配分!$D$5, C739=③資金配分!$D$6), 0, IF(AND(③資金配分!$B$8&gt;0, G739&lt;=③資金配分!$B$8), 1, 0))))</f>
        <v>0</v>
      </c>
      <c r="I739">
        <f t="shared" si="23"/>
        <v>0</v>
      </c>
      <c r="J739">
        <f>IF(I739&gt;0, ROUND((I739 / SUM($I$2:$I$817)) * ③資金配分!$B$7, -2), 0)</f>
        <v>0</v>
      </c>
    </row>
    <row r="740" spans="1:10" x14ac:dyDescent="0.4">
      <c r="A740">
        <v>10</v>
      </c>
      <c r="B740">
        <v>11</v>
      </c>
      <c r="C740">
        <v>18</v>
      </c>
      <c r="D740">
        <f>IFERROR(IF(_xlfn.XLOOKUP(A740, ①オッズ入力!$A$2:$A$19, ①オッズ入力!$D$2:$D$19, "")="", 0, _xlfn.XLOOKUP(A740, ①オッズ入力!$A$2:$A$19, ①オッズ入力!$D$2:$D$19, 0)), 0)</f>
        <v>1.7865013201518051E-2</v>
      </c>
      <c r="E740">
        <f>IFERROR(IF(_xlfn.XLOOKUP(B740, ①オッズ入力!$A$2:$A$19, ①オッズ入力!$D$2:$D$19, "")="", 0, _xlfn.XLOOKUP(B740, ①オッズ入力!$A$2:$A$19, ①オッズ入力!$D$2:$D$19, 0)), 0)</f>
        <v>1.6240921092289137E-2</v>
      </c>
      <c r="F740">
        <f>IFERROR(IF(_xlfn.XLOOKUP(C740, ①オッズ入力!$A$2:$A$19, ①オッズ入力!$D$2:$D$19, "")="", 0, _xlfn.XLOOKUP(C740, ①オッズ入力!$A$2:$A$19, ①オッズ入力!$D$2:$D$19, 0)), 0)</f>
        <v>8.5478532064679671E-3</v>
      </c>
      <c r="G740">
        <f t="shared" si="22"/>
        <v>403207.82041532884</v>
      </c>
      <c r="H740">
        <f>IF(G740="", 0, IF(OR(A740=③資金配分!$D$1, A740=③資金配分!$D$2, B740=③資金配分!$D$1, B740=③資金配分!$D$2, C740=③資金配分!$D$1, C740=③資金配分!$D$2), 0, IF(OR(A740=③資金配分!$D$4, A740=③資金配分!$D$5, A740=③資金配分!$D$6, B740=③資金配分!$D$4, B740=③資金配分!$D$5, B740=③資金配分!$D$6, C740=③資金配分!$D$4, C740=③資金配分!$D$5, C740=③資金配分!$D$6), 0, IF(AND(③資金配分!$B$8&gt;0, G740&lt;=③資金配分!$B$8), 1, 0))))</f>
        <v>0</v>
      </c>
      <c r="I740">
        <f t="shared" si="23"/>
        <v>0</v>
      </c>
      <c r="J740">
        <f>IF(I740&gt;0, ROUND((I740 / SUM($I$2:$I$817)) * ③資金配分!$B$7, -2), 0)</f>
        <v>0</v>
      </c>
    </row>
    <row r="741" spans="1:10" x14ac:dyDescent="0.4">
      <c r="A741">
        <v>10</v>
      </c>
      <c r="B741">
        <v>12</v>
      </c>
      <c r="C741">
        <v>13</v>
      </c>
      <c r="D741">
        <f>IFERROR(IF(_xlfn.XLOOKUP(A741, ①オッズ入力!$A$2:$A$19, ①オッズ入力!$D$2:$D$19, "")="", 0, _xlfn.XLOOKUP(A741, ①オッズ入力!$A$2:$A$19, ①オッズ入力!$D$2:$D$19, 0)), 0)</f>
        <v>1.7865013201518051E-2</v>
      </c>
      <c r="E741">
        <f>IFERROR(IF(_xlfn.XLOOKUP(B741, ①オッズ入力!$A$2:$A$19, ①オッズ入力!$D$2:$D$19, "")="", 0, _xlfn.XLOOKUP(B741, ①オッズ入力!$A$2:$A$19, ①オッズ入力!$D$2:$D$19, 0)), 0)</f>
        <v>1.4887511001265043E-2</v>
      </c>
      <c r="F741">
        <f>IFERROR(IF(_xlfn.XLOOKUP(C741, ①オッズ入力!$A$2:$A$19, ①オッズ入力!$D$2:$D$19, "")="", 0, _xlfn.XLOOKUP(C741, ①オッズ入力!$A$2:$A$19, ①オッズ入力!$D$2:$D$19, 0)), 0)</f>
        <v>1.2760723715370036E-2</v>
      </c>
      <c r="G741">
        <f t="shared" si="22"/>
        <v>294645.12322651263</v>
      </c>
      <c r="H741">
        <f>IF(G741="", 0, IF(OR(A741=③資金配分!$D$1, A741=③資金配分!$D$2, B741=③資金配分!$D$1, B741=③資金配分!$D$2, C741=③資金配分!$D$1, C741=③資金配分!$D$2), 0, IF(OR(A741=③資金配分!$D$4, A741=③資金配分!$D$5, A741=③資金配分!$D$6, B741=③資金配分!$D$4, B741=③資金配分!$D$5, B741=③資金配分!$D$6, C741=③資金配分!$D$4, C741=③資金配分!$D$5, C741=③資金配分!$D$6), 0, IF(AND(③資金配分!$B$8&gt;0, G741&lt;=③資金配分!$B$8), 1, 0))))</f>
        <v>0</v>
      </c>
      <c r="I741">
        <f t="shared" si="23"/>
        <v>0</v>
      </c>
      <c r="J741">
        <f>IF(I741&gt;0, ROUND((I741 / SUM($I$2:$I$817)) * ③資金配分!$B$7, -2), 0)</f>
        <v>0</v>
      </c>
    </row>
    <row r="742" spans="1:10" x14ac:dyDescent="0.4">
      <c r="A742">
        <v>10</v>
      </c>
      <c r="B742">
        <v>12</v>
      </c>
      <c r="C742">
        <v>14</v>
      </c>
      <c r="D742">
        <f>IFERROR(IF(_xlfn.XLOOKUP(A742, ①オッズ入力!$A$2:$A$19, ①オッズ入力!$D$2:$D$19, "")="", 0, _xlfn.XLOOKUP(A742, ①オッズ入力!$A$2:$A$19, ①オッズ入力!$D$2:$D$19, 0)), 0)</f>
        <v>1.7865013201518051E-2</v>
      </c>
      <c r="E742">
        <f>IFERROR(IF(_xlfn.XLOOKUP(B742, ①オッズ入力!$A$2:$A$19, ①オッズ入力!$D$2:$D$19, "")="", 0, _xlfn.XLOOKUP(B742, ①オッズ入力!$A$2:$A$19, ①オッズ入力!$D$2:$D$19, 0)), 0)</f>
        <v>1.4887511001265043E-2</v>
      </c>
      <c r="F742">
        <f>IFERROR(IF(_xlfn.XLOOKUP(C742, ①オッズ入力!$A$2:$A$19, ①オッズ入力!$D$2:$D$19, "")="", 0, _xlfn.XLOOKUP(C742, ①オッズ入力!$A$2:$A$19, ①オッズ入力!$D$2:$D$19, 0)), 0)</f>
        <v>1.1525814968721322E-2</v>
      </c>
      <c r="G742">
        <f t="shared" si="22"/>
        <v>326214.24357221043</v>
      </c>
      <c r="H742">
        <f>IF(G742="", 0, IF(OR(A742=③資金配分!$D$1, A742=③資金配分!$D$2, B742=③資金配分!$D$1, B742=③資金配分!$D$2, C742=③資金配分!$D$1, C742=③資金配分!$D$2), 0, IF(OR(A742=③資金配分!$D$4, A742=③資金配分!$D$5, A742=③資金配分!$D$6, B742=③資金配分!$D$4, B742=③資金配分!$D$5, B742=③資金配分!$D$6, C742=③資金配分!$D$4, C742=③資金配分!$D$5, C742=③資金配分!$D$6), 0, IF(AND(③資金配分!$B$8&gt;0, G742&lt;=③資金配分!$B$8), 1, 0))))</f>
        <v>0</v>
      </c>
      <c r="I742">
        <f t="shared" si="23"/>
        <v>0</v>
      </c>
      <c r="J742">
        <f>IF(I742&gt;0, ROUND((I742 / SUM($I$2:$I$817)) * ③資金配分!$B$7, -2), 0)</f>
        <v>0</v>
      </c>
    </row>
    <row r="743" spans="1:10" x14ac:dyDescent="0.4">
      <c r="A743">
        <v>10</v>
      </c>
      <c r="B743">
        <v>12</v>
      </c>
      <c r="C743">
        <v>15</v>
      </c>
      <c r="D743">
        <f>IFERROR(IF(_xlfn.XLOOKUP(A743, ①オッズ入力!$A$2:$A$19, ①オッズ入力!$D$2:$D$19, "")="", 0, _xlfn.XLOOKUP(A743, ①オッズ入力!$A$2:$A$19, ①オッズ入力!$D$2:$D$19, 0)), 0)</f>
        <v>1.7865013201518051E-2</v>
      </c>
      <c r="E743">
        <f>IFERROR(IF(_xlfn.XLOOKUP(B743, ①オッズ入力!$A$2:$A$19, ①オッズ入力!$D$2:$D$19, "")="", 0, _xlfn.XLOOKUP(B743, ①オッズ入力!$A$2:$A$19, ①オッズ入力!$D$2:$D$19, 0)), 0)</f>
        <v>1.4887511001265043E-2</v>
      </c>
      <c r="F743">
        <f>IFERROR(IF(_xlfn.XLOOKUP(C743, ①オッズ入力!$A$2:$A$19, ①オッズ入力!$D$2:$D$19, "")="", 0, _xlfn.XLOOKUP(C743, ①オッズ入力!$A$2:$A$19, ①オッズ入力!$D$2:$D$19, 0)), 0)</f>
        <v>1.0697612695519792E-2</v>
      </c>
      <c r="G743">
        <f t="shared" si="22"/>
        <v>351469.53984876868</v>
      </c>
      <c r="H743">
        <f>IF(G743="", 0, IF(OR(A743=③資金配分!$D$1, A743=③資金配分!$D$2, B743=③資金配分!$D$1, B743=③資金配分!$D$2, C743=③資金配分!$D$1, C743=③資金配分!$D$2), 0, IF(OR(A743=③資金配分!$D$4, A743=③資金配分!$D$5, A743=③資金配分!$D$6, B743=③資金配分!$D$4, B743=③資金配分!$D$5, B743=③資金配分!$D$6, C743=③資金配分!$D$4, C743=③資金配分!$D$5, C743=③資金配分!$D$6), 0, IF(AND(③資金配分!$B$8&gt;0, G743&lt;=③資金配分!$B$8), 1, 0))))</f>
        <v>0</v>
      </c>
      <c r="I743">
        <f t="shared" si="23"/>
        <v>0</v>
      </c>
      <c r="J743">
        <f>IF(I743&gt;0, ROUND((I743 / SUM($I$2:$I$817)) * ③資金配分!$B$7, -2), 0)</f>
        <v>0</v>
      </c>
    </row>
    <row r="744" spans="1:10" x14ac:dyDescent="0.4">
      <c r="A744">
        <v>10</v>
      </c>
      <c r="B744">
        <v>12</v>
      </c>
      <c r="C744">
        <v>16</v>
      </c>
      <c r="D744">
        <f>IFERROR(IF(_xlfn.XLOOKUP(A744, ①オッズ入力!$A$2:$A$19, ①オッズ入力!$D$2:$D$19, "")="", 0, _xlfn.XLOOKUP(A744, ①オッズ入力!$A$2:$A$19, ①オッズ入力!$D$2:$D$19, 0)), 0)</f>
        <v>1.7865013201518051E-2</v>
      </c>
      <c r="E744">
        <f>IFERROR(IF(_xlfn.XLOOKUP(B744, ①オッズ入力!$A$2:$A$19, ①オッズ入力!$D$2:$D$19, "")="", 0, _xlfn.XLOOKUP(B744, ①オッズ入力!$A$2:$A$19, ①オッズ入力!$D$2:$D$19, 0)), 0)</f>
        <v>1.4887511001265043E-2</v>
      </c>
      <c r="F744">
        <f>IFERROR(IF(_xlfn.XLOOKUP(C744, ①オッズ入力!$A$2:$A$19, ①オッズ入力!$D$2:$D$19, "")="", 0, _xlfn.XLOOKUP(C744, ①オッズ入力!$A$2:$A$19, ①オッズ入力!$D$2:$D$19, 0)), 0)</f>
        <v>9.8701730395127345E-3</v>
      </c>
      <c r="G744">
        <f t="shared" si="22"/>
        <v>380934.05217141996</v>
      </c>
      <c r="H744">
        <f>IF(G744="", 0, IF(OR(A744=③資金配分!$D$1, A744=③資金配分!$D$2, B744=③資金配分!$D$1, B744=③資金配分!$D$2, C744=③資金配分!$D$1, C744=③資金配分!$D$2), 0, IF(OR(A744=③資金配分!$D$4, A744=③資金配分!$D$5, A744=③資金配分!$D$6, B744=③資金配分!$D$4, B744=③資金配分!$D$5, B744=③資金配分!$D$6, C744=③資金配分!$D$4, C744=③資金配分!$D$5, C744=③資金配分!$D$6), 0, IF(AND(③資金配分!$B$8&gt;0, G744&lt;=③資金配分!$B$8), 1, 0))))</f>
        <v>0</v>
      </c>
      <c r="I744">
        <f t="shared" si="23"/>
        <v>0</v>
      </c>
      <c r="J744">
        <f>IF(I744&gt;0, ROUND((I744 / SUM($I$2:$I$817)) * ③資金配分!$B$7, -2), 0)</f>
        <v>0</v>
      </c>
    </row>
    <row r="745" spans="1:10" x14ac:dyDescent="0.4">
      <c r="A745">
        <v>10</v>
      </c>
      <c r="B745">
        <v>12</v>
      </c>
      <c r="C745">
        <v>17</v>
      </c>
      <c r="D745">
        <f>IFERROR(IF(_xlfn.XLOOKUP(A745, ①オッズ入力!$A$2:$A$19, ①オッズ入力!$D$2:$D$19, "")="", 0, _xlfn.XLOOKUP(A745, ①オッズ入力!$A$2:$A$19, ①オッズ入力!$D$2:$D$19, 0)), 0)</f>
        <v>1.7865013201518051E-2</v>
      </c>
      <c r="E745">
        <f>IFERROR(IF(_xlfn.XLOOKUP(B745, ①オッズ入力!$A$2:$A$19, ①オッズ入力!$D$2:$D$19, "")="", 0, _xlfn.XLOOKUP(B745, ①オッズ入力!$A$2:$A$19, ①オッズ入力!$D$2:$D$19, 0)), 0)</f>
        <v>1.4887511001265043E-2</v>
      </c>
      <c r="F745">
        <f>IFERROR(IF(_xlfn.XLOOKUP(C745, ①オッズ入力!$A$2:$A$19, ①オッズ入力!$D$2:$D$19, "")="", 0, _xlfn.XLOOKUP(C745, ①オッズ入力!$A$2:$A$19, ①オッズ入力!$D$2:$D$19, 0)), 0)</f>
        <v>9.1615452315477186E-3</v>
      </c>
      <c r="G745">
        <f t="shared" si="22"/>
        <v>410398.56449407118</v>
      </c>
      <c r="H745">
        <f>IF(G745="", 0, IF(OR(A745=③資金配分!$D$1, A745=③資金配分!$D$2, B745=③資金配分!$D$1, B745=③資金配分!$D$2, C745=③資金配分!$D$1, C745=③資金配分!$D$2), 0, IF(OR(A745=③資金配分!$D$4, A745=③資金配分!$D$5, A745=③資金配分!$D$6, B745=③資金配分!$D$4, B745=③資金配分!$D$5, B745=③資金配分!$D$6, C745=③資金配分!$D$4, C745=③資金配分!$D$5, C745=③資金配分!$D$6), 0, IF(AND(③資金配分!$B$8&gt;0, G745&lt;=③資金配分!$B$8), 1, 0))))</f>
        <v>0</v>
      </c>
      <c r="I745">
        <f t="shared" si="23"/>
        <v>0</v>
      </c>
      <c r="J745">
        <f>IF(I745&gt;0, ROUND((I745 / SUM($I$2:$I$817)) * ③資金配分!$B$7, -2), 0)</f>
        <v>0</v>
      </c>
    </row>
    <row r="746" spans="1:10" x14ac:dyDescent="0.4">
      <c r="A746">
        <v>10</v>
      </c>
      <c r="B746">
        <v>12</v>
      </c>
      <c r="C746">
        <v>18</v>
      </c>
      <c r="D746">
        <f>IFERROR(IF(_xlfn.XLOOKUP(A746, ①オッズ入力!$A$2:$A$19, ①オッズ入力!$D$2:$D$19, "")="", 0, _xlfn.XLOOKUP(A746, ①オッズ入力!$A$2:$A$19, ①オッズ入力!$D$2:$D$19, 0)), 0)</f>
        <v>1.7865013201518051E-2</v>
      </c>
      <c r="E746">
        <f>IFERROR(IF(_xlfn.XLOOKUP(B746, ①オッズ入力!$A$2:$A$19, ①オッズ入力!$D$2:$D$19, "")="", 0, _xlfn.XLOOKUP(B746, ①オッズ入力!$A$2:$A$19, ①オッズ入力!$D$2:$D$19, 0)), 0)</f>
        <v>1.4887511001265043E-2</v>
      </c>
      <c r="F746">
        <f>IFERROR(IF(_xlfn.XLOOKUP(C746, ①オッズ入力!$A$2:$A$19, ①オッズ入力!$D$2:$D$19, "")="", 0, _xlfn.XLOOKUP(C746, ①オッズ入力!$A$2:$A$19, ①オッズ入力!$D$2:$D$19, 0)), 0)</f>
        <v>8.5478532064679671E-3</v>
      </c>
      <c r="G746">
        <f t="shared" si="22"/>
        <v>439863.07681672246</v>
      </c>
      <c r="H746">
        <f>IF(G746="", 0, IF(OR(A746=③資金配分!$D$1, A746=③資金配分!$D$2, B746=③資金配分!$D$1, B746=③資金配分!$D$2, C746=③資金配分!$D$1, C746=③資金配分!$D$2), 0, IF(OR(A746=③資金配分!$D$4, A746=③資金配分!$D$5, A746=③資金配分!$D$6, B746=③資金配分!$D$4, B746=③資金配分!$D$5, B746=③資金配分!$D$6, C746=③資金配分!$D$4, C746=③資金配分!$D$5, C746=③資金配分!$D$6), 0, IF(AND(③資金配分!$B$8&gt;0, G746&lt;=③資金配分!$B$8), 1, 0))))</f>
        <v>0</v>
      </c>
      <c r="I746">
        <f t="shared" si="23"/>
        <v>0</v>
      </c>
      <c r="J746">
        <f>IF(I746&gt;0, ROUND((I746 / SUM($I$2:$I$817)) * ③資金配分!$B$7, -2), 0)</f>
        <v>0</v>
      </c>
    </row>
    <row r="747" spans="1:10" x14ac:dyDescent="0.4">
      <c r="A747">
        <v>10</v>
      </c>
      <c r="B747">
        <v>13</v>
      </c>
      <c r="C747">
        <v>14</v>
      </c>
      <c r="D747">
        <f>IFERROR(IF(_xlfn.XLOOKUP(A747, ①オッズ入力!$A$2:$A$19, ①オッズ入力!$D$2:$D$19, "")="", 0, _xlfn.XLOOKUP(A747, ①オッズ入力!$A$2:$A$19, ①オッズ入力!$D$2:$D$19, 0)), 0)</f>
        <v>1.7865013201518051E-2</v>
      </c>
      <c r="E747">
        <f>IFERROR(IF(_xlfn.XLOOKUP(B747, ①オッズ入力!$A$2:$A$19, ①オッズ入力!$D$2:$D$19, "")="", 0, _xlfn.XLOOKUP(B747, ①オッズ入力!$A$2:$A$19, ①オッズ入力!$D$2:$D$19, 0)), 0)</f>
        <v>1.2760723715370036E-2</v>
      </c>
      <c r="F747">
        <f>IFERROR(IF(_xlfn.XLOOKUP(C747, ①オッズ入力!$A$2:$A$19, ①オッズ入力!$D$2:$D$19, "")="", 0, _xlfn.XLOOKUP(C747, ①オッズ入力!$A$2:$A$19, ①オッズ入力!$D$2:$D$19, 0)), 0)</f>
        <v>1.1525814968721322E-2</v>
      </c>
      <c r="G747">
        <f t="shared" si="22"/>
        <v>380583.28416757885</v>
      </c>
      <c r="H747">
        <f>IF(G747="", 0, IF(OR(A747=③資金配分!$D$1, A747=③資金配分!$D$2, B747=③資金配分!$D$1, B747=③資金配分!$D$2, C747=③資金配分!$D$1, C747=③資金配分!$D$2), 0, IF(OR(A747=③資金配分!$D$4, A747=③資金配分!$D$5, A747=③資金配分!$D$6, B747=③資金配分!$D$4, B747=③資金配分!$D$5, B747=③資金配分!$D$6, C747=③資金配分!$D$4, C747=③資金配分!$D$5, C747=③資金配分!$D$6), 0, IF(AND(③資金配分!$B$8&gt;0, G747&lt;=③資金配分!$B$8), 1, 0))))</f>
        <v>0</v>
      </c>
      <c r="I747">
        <f t="shared" si="23"/>
        <v>0</v>
      </c>
      <c r="J747">
        <f>IF(I747&gt;0, ROUND((I747 / SUM($I$2:$I$817)) * ③資金配分!$B$7, -2), 0)</f>
        <v>0</v>
      </c>
    </row>
    <row r="748" spans="1:10" x14ac:dyDescent="0.4">
      <c r="A748">
        <v>10</v>
      </c>
      <c r="B748">
        <v>13</v>
      </c>
      <c r="C748">
        <v>15</v>
      </c>
      <c r="D748">
        <f>IFERROR(IF(_xlfn.XLOOKUP(A748, ①オッズ入力!$A$2:$A$19, ①オッズ入力!$D$2:$D$19, "")="", 0, _xlfn.XLOOKUP(A748, ①オッズ入力!$A$2:$A$19, ①オッズ入力!$D$2:$D$19, 0)), 0)</f>
        <v>1.7865013201518051E-2</v>
      </c>
      <c r="E748">
        <f>IFERROR(IF(_xlfn.XLOOKUP(B748, ①オッズ入力!$A$2:$A$19, ①オッズ入力!$D$2:$D$19, "")="", 0, _xlfn.XLOOKUP(B748, ①オッズ入力!$A$2:$A$19, ①オッズ入力!$D$2:$D$19, 0)), 0)</f>
        <v>1.2760723715370036E-2</v>
      </c>
      <c r="F748">
        <f>IFERROR(IF(_xlfn.XLOOKUP(C748, ①オッズ入力!$A$2:$A$19, ①オッズ入力!$D$2:$D$19, "")="", 0, _xlfn.XLOOKUP(C748, ①オッズ入力!$A$2:$A$19, ①オッズ入力!$D$2:$D$19, 0)), 0)</f>
        <v>1.0697612695519792E-2</v>
      </c>
      <c r="G748">
        <f t="shared" si="22"/>
        <v>410047.79649023002</v>
      </c>
      <c r="H748">
        <f>IF(G748="", 0, IF(OR(A748=③資金配分!$D$1, A748=③資金配分!$D$2, B748=③資金配分!$D$1, B748=③資金配分!$D$2, C748=③資金配分!$D$1, C748=③資金配分!$D$2), 0, IF(OR(A748=③資金配分!$D$4, A748=③資金配分!$D$5, A748=③資金配分!$D$6, B748=③資金配分!$D$4, B748=③資金配分!$D$5, B748=③資金配分!$D$6, C748=③資金配分!$D$4, C748=③資金配分!$D$5, C748=③資金配分!$D$6), 0, IF(AND(③資金配分!$B$8&gt;0, G748&lt;=③資金配分!$B$8), 1, 0))))</f>
        <v>0</v>
      </c>
      <c r="I748">
        <f t="shared" si="23"/>
        <v>0</v>
      </c>
      <c r="J748">
        <f>IF(I748&gt;0, ROUND((I748 / SUM($I$2:$I$817)) * ③資金配分!$B$7, -2), 0)</f>
        <v>0</v>
      </c>
    </row>
    <row r="749" spans="1:10" x14ac:dyDescent="0.4">
      <c r="A749">
        <v>10</v>
      </c>
      <c r="B749">
        <v>13</v>
      </c>
      <c r="C749">
        <v>16</v>
      </c>
      <c r="D749">
        <f>IFERROR(IF(_xlfn.XLOOKUP(A749, ①オッズ入力!$A$2:$A$19, ①オッズ入力!$D$2:$D$19, "")="", 0, _xlfn.XLOOKUP(A749, ①オッズ入力!$A$2:$A$19, ①オッズ入力!$D$2:$D$19, 0)), 0)</f>
        <v>1.7865013201518051E-2</v>
      </c>
      <c r="E749">
        <f>IFERROR(IF(_xlfn.XLOOKUP(B749, ①オッズ入力!$A$2:$A$19, ①オッズ入力!$D$2:$D$19, "")="", 0, _xlfn.XLOOKUP(B749, ①オッズ入力!$A$2:$A$19, ①オッズ入力!$D$2:$D$19, 0)), 0)</f>
        <v>1.2760723715370036E-2</v>
      </c>
      <c r="F749">
        <f>IFERROR(IF(_xlfn.XLOOKUP(C749, ①オッズ入力!$A$2:$A$19, ①オッズ入力!$D$2:$D$19, "")="", 0, _xlfn.XLOOKUP(C749, ①オッズ入力!$A$2:$A$19, ①オッズ入力!$D$2:$D$19, 0)), 0)</f>
        <v>9.8701730395127345E-3</v>
      </c>
      <c r="G749">
        <f t="shared" si="22"/>
        <v>444423.0608666566</v>
      </c>
      <c r="H749">
        <f>IF(G749="", 0, IF(OR(A749=③資金配分!$D$1, A749=③資金配分!$D$2, B749=③資金配分!$D$1, B749=③資金配分!$D$2, C749=③資金配分!$D$1, C749=③資金配分!$D$2), 0, IF(OR(A749=③資金配分!$D$4, A749=③資金配分!$D$5, A749=③資金配分!$D$6, B749=③資金配分!$D$4, B749=③資金配分!$D$5, B749=③資金配分!$D$6, C749=③資金配分!$D$4, C749=③資金配分!$D$5, C749=③資金配分!$D$6), 0, IF(AND(③資金配分!$B$8&gt;0, G749&lt;=③資金配分!$B$8), 1, 0))))</f>
        <v>0</v>
      </c>
      <c r="I749">
        <f t="shared" si="23"/>
        <v>0</v>
      </c>
      <c r="J749">
        <f>IF(I749&gt;0, ROUND((I749 / SUM($I$2:$I$817)) * ③資金配分!$B$7, -2), 0)</f>
        <v>0</v>
      </c>
    </row>
    <row r="750" spans="1:10" x14ac:dyDescent="0.4">
      <c r="A750">
        <v>10</v>
      </c>
      <c r="B750">
        <v>13</v>
      </c>
      <c r="C750">
        <v>17</v>
      </c>
      <c r="D750">
        <f>IFERROR(IF(_xlfn.XLOOKUP(A750, ①オッズ入力!$A$2:$A$19, ①オッズ入力!$D$2:$D$19, "")="", 0, _xlfn.XLOOKUP(A750, ①オッズ入力!$A$2:$A$19, ①オッズ入力!$D$2:$D$19, 0)), 0)</f>
        <v>1.7865013201518051E-2</v>
      </c>
      <c r="E750">
        <f>IFERROR(IF(_xlfn.XLOOKUP(B750, ①オッズ入力!$A$2:$A$19, ①オッズ入力!$D$2:$D$19, "")="", 0, _xlfn.XLOOKUP(B750, ①オッズ入力!$A$2:$A$19, ①オッズ入力!$D$2:$D$19, 0)), 0)</f>
        <v>1.2760723715370036E-2</v>
      </c>
      <c r="F750">
        <f>IFERROR(IF(_xlfn.XLOOKUP(C750, ①オッズ入力!$A$2:$A$19, ①オッズ入力!$D$2:$D$19, "")="", 0, _xlfn.XLOOKUP(C750, ①オッズ入力!$A$2:$A$19, ①オッズ入力!$D$2:$D$19, 0)), 0)</f>
        <v>9.1615452315477186E-3</v>
      </c>
      <c r="G750">
        <f t="shared" si="22"/>
        <v>478798.32524308306</v>
      </c>
      <c r="H750">
        <f>IF(G750="", 0, IF(OR(A750=③資金配分!$D$1, A750=③資金配分!$D$2, B750=③資金配分!$D$1, B750=③資金配分!$D$2, C750=③資金配分!$D$1, C750=③資金配分!$D$2), 0, IF(OR(A750=③資金配分!$D$4, A750=③資金配分!$D$5, A750=③資金配分!$D$6, B750=③資金配分!$D$4, B750=③資金配分!$D$5, B750=③資金配分!$D$6, C750=③資金配分!$D$4, C750=③資金配分!$D$5, C750=③資金配分!$D$6), 0, IF(AND(③資金配分!$B$8&gt;0, G750&lt;=③資金配分!$B$8), 1, 0))))</f>
        <v>0</v>
      </c>
      <c r="I750">
        <f t="shared" si="23"/>
        <v>0</v>
      </c>
      <c r="J750">
        <f>IF(I750&gt;0, ROUND((I750 / SUM($I$2:$I$817)) * ③資金配分!$B$7, -2), 0)</f>
        <v>0</v>
      </c>
    </row>
    <row r="751" spans="1:10" x14ac:dyDescent="0.4">
      <c r="A751">
        <v>10</v>
      </c>
      <c r="B751">
        <v>13</v>
      </c>
      <c r="C751">
        <v>18</v>
      </c>
      <c r="D751">
        <f>IFERROR(IF(_xlfn.XLOOKUP(A751, ①オッズ入力!$A$2:$A$19, ①オッズ入力!$D$2:$D$19, "")="", 0, _xlfn.XLOOKUP(A751, ①オッズ入力!$A$2:$A$19, ①オッズ入力!$D$2:$D$19, 0)), 0)</f>
        <v>1.7865013201518051E-2</v>
      </c>
      <c r="E751">
        <f>IFERROR(IF(_xlfn.XLOOKUP(B751, ①オッズ入力!$A$2:$A$19, ①オッズ入力!$D$2:$D$19, "")="", 0, _xlfn.XLOOKUP(B751, ①オッズ入力!$A$2:$A$19, ①オッズ入力!$D$2:$D$19, 0)), 0)</f>
        <v>1.2760723715370036E-2</v>
      </c>
      <c r="F751">
        <f>IFERROR(IF(_xlfn.XLOOKUP(C751, ①オッズ入力!$A$2:$A$19, ①オッズ入力!$D$2:$D$19, "")="", 0, _xlfn.XLOOKUP(C751, ①オッズ入力!$A$2:$A$19, ①オッズ入力!$D$2:$D$19, 0)), 0)</f>
        <v>8.5478532064679671E-3</v>
      </c>
      <c r="G751">
        <f t="shared" si="22"/>
        <v>513173.58961950947</v>
      </c>
      <c r="H751">
        <f>IF(G751="", 0, IF(OR(A751=③資金配分!$D$1, A751=③資金配分!$D$2, B751=③資金配分!$D$1, B751=③資金配分!$D$2, C751=③資金配分!$D$1, C751=③資金配分!$D$2), 0, IF(OR(A751=③資金配分!$D$4, A751=③資金配分!$D$5, A751=③資金配分!$D$6, B751=③資金配分!$D$4, B751=③資金配分!$D$5, B751=③資金配分!$D$6, C751=③資金配分!$D$4, C751=③資金配分!$D$5, C751=③資金配分!$D$6), 0, IF(AND(③資金配分!$B$8&gt;0, G751&lt;=③資金配分!$B$8), 1, 0))))</f>
        <v>0</v>
      </c>
      <c r="I751">
        <f t="shared" si="23"/>
        <v>0</v>
      </c>
      <c r="J751">
        <f>IF(I751&gt;0, ROUND((I751 / SUM($I$2:$I$817)) * ③資金配分!$B$7, -2), 0)</f>
        <v>0</v>
      </c>
    </row>
    <row r="752" spans="1:10" x14ac:dyDescent="0.4">
      <c r="A752">
        <v>10</v>
      </c>
      <c r="B752">
        <v>14</v>
      </c>
      <c r="C752">
        <v>15</v>
      </c>
      <c r="D752">
        <f>IFERROR(IF(_xlfn.XLOOKUP(A752, ①オッズ入力!$A$2:$A$19, ①オッズ入力!$D$2:$D$19, "")="", 0, _xlfn.XLOOKUP(A752, ①オッズ入力!$A$2:$A$19, ①オッズ入力!$D$2:$D$19, 0)), 0)</f>
        <v>1.7865013201518051E-2</v>
      </c>
      <c r="E752">
        <f>IFERROR(IF(_xlfn.XLOOKUP(B752, ①オッズ入力!$A$2:$A$19, ①オッズ入力!$D$2:$D$19, "")="", 0, _xlfn.XLOOKUP(B752, ①オッズ入力!$A$2:$A$19, ①オッズ入力!$D$2:$D$19, 0)), 0)</f>
        <v>1.1525814968721322E-2</v>
      </c>
      <c r="F752">
        <f>IFERROR(IF(_xlfn.XLOOKUP(C752, ①オッズ入力!$A$2:$A$19, ①オッズ入力!$D$2:$D$19, "")="", 0, _xlfn.XLOOKUP(C752, ①オッズ入力!$A$2:$A$19, ①オッズ入力!$D$2:$D$19, 0)), 0)</f>
        <v>1.0697612695519792E-2</v>
      </c>
      <c r="G752">
        <f t="shared" si="22"/>
        <v>453981.48897132615</v>
      </c>
      <c r="H752">
        <f>IF(G752="", 0, IF(OR(A752=③資金配分!$D$1, A752=③資金配分!$D$2, B752=③資金配分!$D$1, B752=③資金配分!$D$2, C752=③資金配分!$D$1, C752=③資金配分!$D$2), 0, IF(OR(A752=③資金配分!$D$4, A752=③資金配分!$D$5, A752=③資金配分!$D$6, B752=③資金配分!$D$4, B752=③資金配分!$D$5, B752=③資金配分!$D$6, C752=③資金配分!$D$4, C752=③資金配分!$D$5, C752=③資金配分!$D$6), 0, IF(AND(③資金配分!$B$8&gt;0, G752&lt;=③資金配分!$B$8), 1, 0))))</f>
        <v>0</v>
      </c>
      <c r="I752">
        <f t="shared" si="23"/>
        <v>0</v>
      </c>
      <c r="J752">
        <f>IF(I752&gt;0, ROUND((I752 / SUM($I$2:$I$817)) * ③資金配分!$B$7, -2), 0)</f>
        <v>0</v>
      </c>
    </row>
    <row r="753" spans="1:10" x14ac:dyDescent="0.4">
      <c r="A753">
        <v>10</v>
      </c>
      <c r="B753">
        <v>14</v>
      </c>
      <c r="C753">
        <v>16</v>
      </c>
      <c r="D753">
        <f>IFERROR(IF(_xlfn.XLOOKUP(A753, ①オッズ入力!$A$2:$A$19, ①オッズ入力!$D$2:$D$19, "")="", 0, _xlfn.XLOOKUP(A753, ①オッズ入力!$A$2:$A$19, ①オッズ入力!$D$2:$D$19, 0)), 0)</f>
        <v>1.7865013201518051E-2</v>
      </c>
      <c r="E753">
        <f>IFERROR(IF(_xlfn.XLOOKUP(B753, ①オッズ入力!$A$2:$A$19, ①オッズ入力!$D$2:$D$19, "")="", 0, _xlfn.XLOOKUP(B753, ①オッズ入力!$A$2:$A$19, ①オッズ入力!$D$2:$D$19, 0)), 0)</f>
        <v>1.1525814968721322E-2</v>
      </c>
      <c r="F753">
        <f>IFERROR(IF(_xlfn.XLOOKUP(C753, ①オッズ入力!$A$2:$A$19, ①オッズ入力!$D$2:$D$19, "")="", 0, _xlfn.XLOOKUP(C753, ①オッズ入力!$A$2:$A$19, ①オッズ入力!$D$2:$D$19, 0)), 0)</f>
        <v>9.8701730395127345E-3</v>
      </c>
      <c r="G753">
        <f t="shared" si="22"/>
        <v>492039.81738808408</v>
      </c>
      <c r="H753">
        <f>IF(G753="", 0, IF(OR(A753=③資金配分!$D$1, A753=③資金配分!$D$2, B753=③資金配分!$D$1, B753=③資金配分!$D$2, C753=③資金配分!$D$1, C753=③資金配分!$D$2), 0, IF(OR(A753=③資金配分!$D$4, A753=③資金配分!$D$5, A753=③資金配分!$D$6, B753=③資金配分!$D$4, B753=③資金配分!$D$5, B753=③資金配分!$D$6, C753=③資金配分!$D$4, C753=③資金配分!$D$5, C753=③資金配分!$D$6), 0, IF(AND(③資金配分!$B$8&gt;0, G753&lt;=③資金配分!$B$8), 1, 0))))</f>
        <v>0</v>
      </c>
      <c r="I753">
        <f t="shared" si="23"/>
        <v>0</v>
      </c>
      <c r="J753">
        <f>IF(I753&gt;0, ROUND((I753 / SUM($I$2:$I$817)) * ③資金配分!$B$7, -2), 0)</f>
        <v>0</v>
      </c>
    </row>
    <row r="754" spans="1:10" x14ac:dyDescent="0.4">
      <c r="A754">
        <v>10</v>
      </c>
      <c r="B754">
        <v>14</v>
      </c>
      <c r="C754">
        <v>17</v>
      </c>
      <c r="D754">
        <f>IFERROR(IF(_xlfn.XLOOKUP(A754, ①オッズ入力!$A$2:$A$19, ①オッズ入力!$D$2:$D$19, "")="", 0, _xlfn.XLOOKUP(A754, ①オッズ入力!$A$2:$A$19, ①オッズ入力!$D$2:$D$19, 0)), 0)</f>
        <v>1.7865013201518051E-2</v>
      </c>
      <c r="E754">
        <f>IFERROR(IF(_xlfn.XLOOKUP(B754, ①オッズ入力!$A$2:$A$19, ①オッズ入力!$D$2:$D$19, "")="", 0, _xlfn.XLOOKUP(B754, ①オッズ入力!$A$2:$A$19, ①オッズ入力!$D$2:$D$19, 0)), 0)</f>
        <v>1.1525814968721322E-2</v>
      </c>
      <c r="F754">
        <f>IFERROR(IF(_xlfn.XLOOKUP(C754, ①オッズ入力!$A$2:$A$19, ①オッズ入力!$D$2:$D$19, "")="", 0, _xlfn.XLOOKUP(C754, ①オッズ入力!$A$2:$A$19, ①オッズ入力!$D$2:$D$19, 0)), 0)</f>
        <v>9.1615452315477186E-3</v>
      </c>
      <c r="G754">
        <f t="shared" si="22"/>
        <v>530098.14580484189</v>
      </c>
      <c r="H754">
        <f>IF(G754="", 0, IF(OR(A754=③資金配分!$D$1, A754=③資金配分!$D$2, B754=③資金配分!$D$1, B754=③資金配分!$D$2, C754=③資金配分!$D$1, C754=③資金配分!$D$2), 0, IF(OR(A754=③資金配分!$D$4, A754=③資金配分!$D$5, A754=③資金配分!$D$6, B754=③資金配分!$D$4, B754=③資金配分!$D$5, B754=③資金配分!$D$6, C754=③資金配分!$D$4, C754=③資金配分!$D$5, C754=③資金配分!$D$6), 0, IF(AND(③資金配分!$B$8&gt;0, G754&lt;=③資金配分!$B$8), 1, 0))))</f>
        <v>0</v>
      </c>
      <c r="I754">
        <f t="shared" si="23"/>
        <v>0</v>
      </c>
      <c r="J754">
        <f>IF(I754&gt;0, ROUND((I754 / SUM($I$2:$I$817)) * ③資金配分!$B$7, -2), 0)</f>
        <v>0</v>
      </c>
    </row>
    <row r="755" spans="1:10" x14ac:dyDescent="0.4">
      <c r="A755">
        <v>10</v>
      </c>
      <c r="B755">
        <v>14</v>
      </c>
      <c r="C755">
        <v>18</v>
      </c>
      <c r="D755">
        <f>IFERROR(IF(_xlfn.XLOOKUP(A755, ①オッズ入力!$A$2:$A$19, ①オッズ入力!$D$2:$D$19, "")="", 0, _xlfn.XLOOKUP(A755, ①オッズ入力!$A$2:$A$19, ①オッズ入力!$D$2:$D$19, 0)), 0)</f>
        <v>1.7865013201518051E-2</v>
      </c>
      <c r="E755">
        <f>IFERROR(IF(_xlfn.XLOOKUP(B755, ①オッズ入力!$A$2:$A$19, ①オッズ入力!$D$2:$D$19, "")="", 0, _xlfn.XLOOKUP(B755, ①オッズ入力!$A$2:$A$19, ①オッズ入力!$D$2:$D$19, 0)), 0)</f>
        <v>1.1525814968721322E-2</v>
      </c>
      <c r="F755">
        <f>IFERROR(IF(_xlfn.XLOOKUP(C755, ①オッズ入力!$A$2:$A$19, ①オッズ入力!$D$2:$D$19, "")="", 0, _xlfn.XLOOKUP(C755, ①オッズ入力!$A$2:$A$19, ①オッズ入力!$D$2:$D$19, 0)), 0)</f>
        <v>8.5478532064679671E-3</v>
      </c>
      <c r="G755">
        <f t="shared" si="22"/>
        <v>568156.47422159987</v>
      </c>
      <c r="H755">
        <f>IF(G755="", 0, IF(OR(A755=③資金配分!$D$1, A755=③資金配分!$D$2, B755=③資金配分!$D$1, B755=③資金配分!$D$2, C755=③資金配分!$D$1, C755=③資金配分!$D$2), 0, IF(OR(A755=③資金配分!$D$4, A755=③資金配分!$D$5, A755=③資金配分!$D$6, B755=③資金配分!$D$4, B755=③資金配分!$D$5, B755=③資金配分!$D$6, C755=③資金配分!$D$4, C755=③資金配分!$D$5, C755=③資金配分!$D$6), 0, IF(AND(③資金配分!$B$8&gt;0, G755&lt;=③資金配分!$B$8), 1, 0))))</f>
        <v>0</v>
      </c>
      <c r="I755">
        <f t="shared" si="23"/>
        <v>0</v>
      </c>
      <c r="J755">
        <f>IF(I755&gt;0, ROUND((I755 / SUM($I$2:$I$817)) * ③資金配分!$B$7, -2), 0)</f>
        <v>0</v>
      </c>
    </row>
    <row r="756" spans="1:10" x14ac:dyDescent="0.4">
      <c r="A756">
        <v>10</v>
      </c>
      <c r="B756">
        <v>15</v>
      </c>
      <c r="C756">
        <v>16</v>
      </c>
      <c r="D756">
        <f>IFERROR(IF(_xlfn.XLOOKUP(A756, ①オッズ入力!$A$2:$A$19, ①オッズ入力!$D$2:$D$19, "")="", 0, _xlfn.XLOOKUP(A756, ①オッズ入力!$A$2:$A$19, ①オッズ入力!$D$2:$D$19, 0)), 0)</f>
        <v>1.7865013201518051E-2</v>
      </c>
      <c r="E756">
        <f>IFERROR(IF(_xlfn.XLOOKUP(B756, ①オッズ入力!$A$2:$A$19, ①オッズ入力!$D$2:$D$19, "")="", 0, _xlfn.XLOOKUP(B756, ①オッズ入力!$A$2:$A$19, ①オッズ入力!$D$2:$D$19, 0)), 0)</f>
        <v>1.0697612695519792E-2</v>
      </c>
      <c r="F756">
        <f>IFERROR(IF(_xlfn.XLOOKUP(C756, ①オッズ入力!$A$2:$A$19, ①オッズ入力!$D$2:$D$19, "")="", 0, _xlfn.XLOOKUP(C756, ①オッズ入力!$A$2:$A$19, ①オッズ入力!$D$2:$D$19, 0)), 0)</f>
        <v>9.8701730395127345E-3</v>
      </c>
      <c r="G756">
        <f t="shared" si="22"/>
        <v>530133.2226052261</v>
      </c>
      <c r="H756">
        <f>IF(G756="", 0, IF(OR(A756=③資金配分!$D$1, A756=③資金配分!$D$2, B756=③資金配分!$D$1, B756=③資金配分!$D$2, C756=③資金配分!$D$1, C756=③資金配分!$D$2), 0, IF(OR(A756=③資金配分!$D$4, A756=③資金配分!$D$5, A756=③資金配分!$D$6, B756=③資金配分!$D$4, B756=③資金配分!$D$5, B756=③資金配分!$D$6, C756=③資金配分!$D$4, C756=③資金配分!$D$5, C756=③資金配分!$D$6), 0, IF(AND(③資金配分!$B$8&gt;0, G756&lt;=③資金配分!$B$8), 1, 0))))</f>
        <v>0</v>
      </c>
      <c r="I756">
        <f t="shared" si="23"/>
        <v>0</v>
      </c>
      <c r="J756">
        <f>IF(I756&gt;0, ROUND((I756 / SUM($I$2:$I$817)) * ③資金配分!$B$7, -2), 0)</f>
        <v>0</v>
      </c>
    </row>
    <row r="757" spans="1:10" x14ac:dyDescent="0.4">
      <c r="A757">
        <v>10</v>
      </c>
      <c r="B757">
        <v>15</v>
      </c>
      <c r="C757">
        <v>17</v>
      </c>
      <c r="D757">
        <f>IFERROR(IF(_xlfn.XLOOKUP(A757, ①オッズ入力!$A$2:$A$19, ①オッズ入力!$D$2:$D$19, "")="", 0, _xlfn.XLOOKUP(A757, ①オッズ入力!$A$2:$A$19, ①オッズ入力!$D$2:$D$19, 0)), 0)</f>
        <v>1.7865013201518051E-2</v>
      </c>
      <c r="E757">
        <f>IFERROR(IF(_xlfn.XLOOKUP(B757, ①オッズ入力!$A$2:$A$19, ①オッズ入力!$D$2:$D$19, "")="", 0, _xlfn.XLOOKUP(B757, ①オッズ入力!$A$2:$A$19, ①オッズ入力!$D$2:$D$19, 0)), 0)</f>
        <v>1.0697612695519792E-2</v>
      </c>
      <c r="F757">
        <f>IFERROR(IF(_xlfn.XLOOKUP(C757, ①オッズ入力!$A$2:$A$19, ①オッズ入力!$D$2:$D$19, "")="", 0, _xlfn.XLOOKUP(C757, ①オッズ入力!$A$2:$A$19, ①オッズ入力!$D$2:$D$19, 0)), 0)</f>
        <v>9.1615452315477186E-3</v>
      </c>
      <c r="G757">
        <f t="shared" si="22"/>
        <v>571138.00225424906</v>
      </c>
      <c r="H757">
        <f>IF(G757="", 0, IF(OR(A757=③資金配分!$D$1, A757=③資金配分!$D$2, B757=③資金配分!$D$1, B757=③資金配分!$D$2, C757=③資金配分!$D$1, C757=③資金配分!$D$2), 0, IF(OR(A757=③資金配分!$D$4, A757=③資金配分!$D$5, A757=③資金配分!$D$6, B757=③資金配分!$D$4, B757=③資金配分!$D$5, B757=③資金配分!$D$6, C757=③資金配分!$D$4, C757=③資金配分!$D$5, C757=③資金配分!$D$6), 0, IF(AND(③資金配分!$B$8&gt;0, G757&lt;=③資金配分!$B$8), 1, 0))))</f>
        <v>0</v>
      </c>
      <c r="I757">
        <f t="shared" si="23"/>
        <v>0</v>
      </c>
      <c r="J757">
        <f>IF(I757&gt;0, ROUND((I757 / SUM($I$2:$I$817)) * ③資金配分!$B$7, -2), 0)</f>
        <v>0</v>
      </c>
    </row>
    <row r="758" spans="1:10" x14ac:dyDescent="0.4">
      <c r="A758">
        <v>10</v>
      </c>
      <c r="B758">
        <v>15</v>
      </c>
      <c r="C758">
        <v>18</v>
      </c>
      <c r="D758">
        <f>IFERROR(IF(_xlfn.XLOOKUP(A758, ①オッズ入力!$A$2:$A$19, ①オッズ入力!$D$2:$D$19, "")="", 0, _xlfn.XLOOKUP(A758, ①オッズ入力!$A$2:$A$19, ①オッズ入力!$D$2:$D$19, 0)), 0)</f>
        <v>1.7865013201518051E-2</v>
      </c>
      <c r="E758">
        <f>IFERROR(IF(_xlfn.XLOOKUP(B758, ①オッズ入力!$A$2:$A$19, ①オッズ入力!$D$2:$D$19, "")="", 0, _xlfn.XLOOKUP(B758, ①オッズ入力!$A$2:$A$19, ①オッズ入力!$D$2:$D$19, 0)), 0)</f>
        <v>1.0697612695519792E-2</v>
      </c>
      <c r="F758">
        <f>IFERROR(IF(_xlfn.XLOOKUP(C758, ①オッズ入力!$A$2:$A$19, ①オッズ入力!$D$2:$D$19, "")="", 0, _xlfn.XLOOKUP(C758, ①オッズ入力!$A$2:$A$19, ①オッズ入力!$D$2:$D$19, 0)), 0)</f>
        <v>8.5478532064679671E-3</v>
      </c>
      <c r="G758">
        <f t="shared" si="22"/>
        <v>612142.78190327203</v>
      </c>
      <c r="H758">
        <f>IF(G758="", 0, IF(OR(A758=③資金配分!$D$1, A758=③資金配分!$D$2, B758=③資金配分!$D$1, B758=③資金配分!$D$2, C758=③資金配分!$D$1, C758=③資金配分!$D$2), 0, IF(OR(A758=③資金配分!$D$4, A758=③資金配分!$D$5, A758=③資金配分!$D$6, B758=③資金配分!$D$4, B758=③資金配分!$D$5, B758=③資金配分!$D$6, C758=③資金配分!$D$4, C758=③資金配分!$D$5, C758=③資金配分!$D$6), 0, IF(AND(③資金配分!$B$8&gt;0, G758&lt;=③資金配分!$B$8), 1, 0))))</f>
        <v>0</v>
      </c>
      <c r="I758">
        <f t="shared" si="23"/>
        <v>0</v>
      </c>
      <c r="J758">
        <f>IF(I758&gt;0, ROUND((I758 / SUM($I$2:$I$817)) * ③資金配分!$B$7, -2), 0)</f>
        <v>0</v>
      </c>
    </row>
    <row r="759" spans="1:10" x14ac:dyDescent="0.4">
      <c r="A759">
        <v>10</v>
      </c>
      <c r="B759">
        <v>16</v>
      </c>
      <c r="C759">
        <v>17</v>
      </c>
      <c r="D759">
        <f>IFERROR(IF(_xlfn.XLOOKUP(A759, ①オッズ入力!$A$2:$A$19, ①オッズ入力!$D$2:$D$19, "")="", 0, _xlfn.XLOOKUP(A759, ①オッズ入力!$A$2:$A$19, ①オッズ入力!$D$2:$D$19, 0)), 0)</f>
        <v>1.7865013201518051E-2</v>
      </c>
      <c r="E759">
        <f>IFERROR(IF(_xlfn.XLOOKUP(B759, ①オッズ入力!$A$2:$A$19, ①オッズ入力!$D$2:$D$19, "")="", 0, _xlfn.XLOOKUP(B759, ①オッズ入力!$A$2:$A$19, ①オッズ入力!$D$2:$D$19, 0)), 0)</f>
        <v>9.8701730395127345E-3</v>
      </c>
      <c r="F759">
        <f>IFERROR(IF(_xlfn.XLOOKUP(C759, ①オッズ入力!$A$2:$A$19, ①オッズ入力!$D$2:$D$19, "")="", 0, _xlfn.XLOOKUP(C759, ①オッズ入力!$A$2:$A$19, ①オッズ入力!$D$2:$D$19, 0)), 0)</f>
        <v>9.1615452315477186E-3</v>
      </c>
      <c r="G759">
        <f t="shared" si="22"/>
        <v>619017.8347785573</v>
      </c>
      <c r="H759">
        <f>IF(G759="", 0, IF(OR(A759=③資金配分!$D$1, A759=③資金配分!$D$2, B759=③資金配分!$D$1, B759=③資金配分!$D$2, C759=③資金配分!$D$1, C759=③資金配分!$D$2), 0, IF(OR(A759=③資金配分!$D$4, A759=③資金配分!$D$5, A759=③資金配分!$D$6, B759=③資金配分!$D$4, B759=③資金配分!$D$5, B759=③資金配分!$D$6, C759=③資金配分!$D$4, C759=③資金配分!$D$5, C759=③資金配分!$D$6), 0, IF(AND(③資金配分!$B$8&gt;0, G759&lt;=③資金配分!$B$8), 1, 0))))</f>
        <v>0</v>
      </c>
      <c r="I759">
        <f t="shared" si="23"/>
        <v>0</v>
      </c>
      <c r="J759">
        <f>IF(I759&gt;0, ROUND((I759 / SUM($I$2:$I$817)) * ③資金配分!$B$7, -2), 0)</f>
        <v>0</v>
      </c>
    </row>
    <row r="760" spans="1:10" x14ac:dyDescent="0.4">
      <c r="A760">
        <v>10</v>
      </c>
      <c r="B760">
        <v>16</v>
      </c>
      <c r="C760">
        <v>18</v>
      </c>
      <c r="D760">
        <f>IFERROR(IF(_xlfn.XLOOKUP(A760, ①オッズ入力!$A$2:$A$19, ①オッズ入力!$D$2:$D$19, "")="", 0, _xlfn.XLOOKUP(A760, ①オッズ入力!$A$2:$A$19, ①オッズ入力!$D$2:$D$19, 0)), 0)</f>
        <v>1.7865013201518051E-2</v>
      </c>
      <c r="E760">
        <f>IFERROR(IF(_xlfn.XLOOKUP(B760, ①オッズ入力!$A$2:$A$19, ①オッズ入力!$D$2:$D$19, "")="", 0, _xlfn.XLOOKUP(B760, ①オッズ入力!$A$2:$A$19, ①オッズ入力!$D$2:$D$19, 0)), 0)</f>
        <v>9.8701730395127345E-3</v>
      </c>
      <c r="F760">
        <f>IFERROR(IF(_xlfn.XLOOKUP(C760, ①オッズ入力!$A$2:$A$19, ①オッズ入力!$D$2:$D$19, "")="", 0, _xlfn.XLOOKUP(C760, ①オッズ入力!$A$2:$A$19, ①オッズ入力!$D$2:$D$19, 0)), 0)</f>
        <v>8.5478532064679671E-3</v>
      </c>
      <c r="G760">
        <f t="shared" si="22"/>
        <v>663460.14086522302</v>
      </c>
      <c r="H760">
        <f>IF(G760="", 0, IF(OR(A760=③資金配分!$D$1, A760=③資金配分!$D$2, B760=③資金配分!$D$1, B760=③資金配分!$D$2, C760=③資金配分!$D$1, C760=③資金配分!$D$2), 0, IF(OR(A760=③資金配分!$D$4, A760=③資金配分!$D$5, A760=③資金配分!$D$6, B760=③資金配分!$D$4, B760=③資金配分!$D$5, B760=③資金配分!$D$6, C760=③資金配分!$D$4, C760=③資金配分!$D$5, C760=③資金配分!$D$6), 0, IF(AND(③資金配分!$B$8&gt;0, G760&lt;=③資金配分!$B$8), 1, 0))))</f>
        <v>0</v>
      </c>
      <c r="I760">
        <f t="shared" si="23"/>
        <v>0</v>
      </c>
      <c r="J760">
        <f>IF(I760&gt;0, ROUND((I760 / SUM($I$2:$I$817)) * ③資金配分!$B$7, -2), 0)</f>
        <v>0</v>
      </c>
    </row>
    <row r="761" spans="1:10" x14ac:dyDescent="0.4">
      <c r="A761">
        <v>10</v>
      </c>
      <c r="B761">
        <v>17</v>
      </c>
      <c r="C761">
        <v>18</v>
      </c>
      <c r="D761">
        <f>IFERROR(IF(_xlfn.XLOOKUP(A761, ①オッズ入力!$A$2:$A$19, ①オッズ入力!$D$2:$D$19, "")="", 0, _xlfn.XLOOKUP(A761, ①オッズ入力!$A$2:$A$19, ①オッズ入力!$D$2:$D$19, 0)), 0)</f>
        <v>1.7865013201518051E-2</v>
      </c>
      <c r="E761">
        <f>IFERROR(IF(_xlfn.XLOOKUP(B761, ①オッズ入力!$A$2:$A$19, ①オッズ入力!$D$2:$D$19, "")="", 0, _xlfn.XLOOKUP(B761, ①オッズ入力!$A$2:$A$19, ①オッズ入力!$D$2:$D$19, 0)), 0)</f>
        <v>9.1615452315477186E-3</v>
      </c>
      <c r="F761">
        <f>IFERROR(IF(_xlfn.XLOOKUP(C761, ①オッズ入力!$A$2:$A$19, ①オッズ入力!$D$2:$D$19, "")="", 0, _xlfn.XLOOKUP(C761, ①オッズ入力!$A$2:$A$19, ①オッズ入力!$D$2:$D$19, 0)), 0)</f>
        <v>8.5478532064679671E-3</v>
      </c>
      <c r="G761">
        <f t="shared" si="22"/>
        <v>714777.499827174</v>
      </c>
      <c r="H761">
        <f>IF(G761="", 0, IF(OR(A761=③資金配分!$D$1, A761=③資金配分!$D$2, B761=③資金配分!$D$1, B761=③資金配分!$D$2, C761=③資金配分!$D$1, C761=③資金配分!$D$2), 0, IF(OR(A761=③資金配分!$D$4, A761=③資金配分!$D$5, A761=③資金配分!$D$6, B761=③資金配分!$D$4, B761=③資金配分!$D$5, B761=③資金配分!$D$6, C761=③資金配分!$D$4, C761=③資金配分!$D$5, C761=③資金配分!$D$6), 0, IF(AND(③資金配分!$B$8&gt;0, G761&lt;=③資金配分!$B$8), 1, 0))))</f>
        <v>0</v>
      </c>
      <c r="I761">
        <f t="shared" si="23"/>
        <v>0</v>
      </c>
      <c r="J761">
        <f>IF(I761&gt;0, ROUND((I761 / SUM($I$2:$I$817)) * ③資金配分!$B$7, -2), 0)</f>
        <v>0</v>
      </c>
    </row>
    <row r="762" spans="1:10" x14ac:dyDescent="0.4">
      <c r="A762">
        <v>11</v>
      </c>
      <c r="B762">
        <v>12</v>
      </c>
      <c r="C762">
        <v>13</v>
      </c>
      <c r="D762">
        <f>IFERROR(IF(_xlfn.XLOOKUP(A762, ①オッズ入力!$A$2:$A$19, ①オッズ入力!$D$2:$D$19, "")="", 0, _xlfn.XLOOKUP(A762, ①オッズ入力!$A$2:$A$19, ①オッズ入力!$D$2:$D$19, 0)), 0)</f>
        <v>1.6240921092289137E-2</v>
      </c>
      <c r="E762">
        <f>IFERROR(IF(_xlfn.XLOOKUP(B762, ①オッズ入力!$A$2:$A$19, ①オッズ入力!$D$2:$D$19, "")="", 0, _xlfn.XLOOKUP(B762, ①オッズ入力!$A$2:$A$19, ①オッズ入力!$D$2:$D$19, 0)), 0)</f>
        <v>1.4887511001265043E-2</v>
      </c>
      <c r="F762">
        <f>IFERROR(IF(_xlfn.XLOOKUP(C762, ①オッズ入力!$A$2:$A$19, ①オッズ入力!$D$2:$D$19, "")="", 0, _xlfn.XLOOKUP(C762, ①オッズ入力!$A$2:$A$19, ①オッズ入力!$D$2:$D$19, 0)), 0)</f>
        <v>1.2760723715370036E-2</v>
      </c>
      <c r="G762">
        <f t="shared" si="22"/>
        <v>324109.63554916391</v>
      </c>
      <c r="H762">
        <f>IF(G762="", 0, IF(OR(A762=③資金配分!$D$1, A762=③資金配分!$D$2, B762=③資金配分!$D$1, B762=③資金配分!$D$2, C762=③資金配分!$D$1, C762=③資金配分!$D$2), 0, IF(OR(A762=③資金配分!$D$4, A762=③資金配分!$D$5, A762=③資金配分!$D$6, B762=③資金配分!$D$4, B762=③資金配分!$D$5, B762=③資金配分!$D$6, C762=③資金配分!$D$4, C762=③資金配分!$D$5, C762=③資金配分!$D$6), 0, IF(AND(③資金配分!$B$8&gt;0, G762&lt;=③資金配分!$B$8), 1, 0))))</f>
        <v>0</v>
      </c>
      <c r="I762">
        <f t="shared" si="23"/>
        <v>0</v>
      </c>
      <c r="J762">
        <f>IF(I762&gt;0, ROUND((I762 / SUM($I$2:$I$817)) * ③資金配分!$B$7, -2), 0)</f>
        <v>0</v>
      </c>
    </row>
    <row r="763" spans="1:10" x14ac:dyDescent="0.4">
      <c r="A763">
        <v>11</v>
      </c>
      <c r="B763">
        <v>12</v>
      </c>
      <c r="C763">
        <v>14</v>
      </c>
      <c r="D763">
        <f>IFERROR(IF(_xlfn.XLOOKUP(A763, ①オッズ入力!$A$2:$A$19, ①オッズ入力!$D$2:$D$19, "")="", 0, _xlfn.XLOOKUP(A763, ①オッズ入力!$A$2:$A$19, ①オッズ入力!$D$2:$D$19, 0)), 0)</f>
        <v>1.6240921092289137E-2</v>
      </c>
      <c r="E763">
        <f>IFERROR(IF(_xlfn.XLOOKUP(B763, ①オッズ入力!$A$2:$A$19, ①オッズ入力!$D$2:$D$19, "")="", 0, _xlfn.XLOOKUP(B763, ①オッズ入力!$A$2:$A$19, ①オッズ入力!$D$2:$D$19, 0)), 0)</f>
        <v>1.4887511001265043E-2</v>
      </c>
      <c r="F763">
        <f>IFERROR(IF(_xlfn.XLOOKUP(C763, ①オッズ入力!$A$2:$A$19, ①オッズ入力!$D$2:$D$19, "")="", 0, _xlfn.XLOOKUP(C763, ①オッズ入力!$A$2:$A$19, ①オッズ入力!$D$2:$D$19, 0)), 0)</f>
        <v>1.1525814968721322E-2</v>
      </c>
      <c r="G763">
        <f t="shared" si="22"/>
        <v>358835.66792943148</v>
      </c>
      <c r="H763">
        <f>IF(G763="", 0, IF(OR(A763=③資金配分!$D$1, A763=③資金配分!$D$2, B763=③資金配分!$D$1, B763=③資金配分!$D$2, C763=③資金配分!$D$1, C763=③資金配分!$D$2), 0, IF(OR(A763=③資金配分!$D$4, A763=③資金配分!$D$5, A763=③資金配分!$D$6, B763=③資金配分!$D$4, B763=③資金配分!$D$5, B763=③資金配分!$D$6, C763=③資金配分!$D$4, C763=③資金配分!$D$5, C763=③資金配分!$D$6), 0, IF(AND(③資金配分!$B$8&gt;0, G763&lt;=③資金配分!$B$8), 1, 0))))</f>
        <v>0</v>
      </c>
      <c r="I763">
        <f t="shared" si="23"/>
        <v>0</v>
      </c>
      <c r="J763">
        <f>IF(I763&gt;0, ROUND((I763 / SUM($I$2:$I$817)) * ③資金配分!$B$7, -2), 0)</f>
        <v>0</v>
      </c>
    </row>
    <row r="764" spans="1:10" x14ac:dyDescent="0.4">
      <c r="A764">
        <v>11</v>
      </c>
      <c r="B764">
        <v>12</v>
      </c>
      <c r="C764">
        <v>15</v>
      </c>
      <c r="D764">
        <f>IFERROR(IF(_xlfn.XLOOKUP(A764, ①オッズ入力!$A$2:$A$19, ①オッズ入力!$D$2:$D$19, "")="", 0, _xlfn.XLOOKUP(A764, ①オッズ入力!$A$2:$A$19, ①オッズ入力!$D$2:$D$19, 0)), 0)</f>
        <v>1.6240921092289137E-2</v>
      </c>
      <c r="E764">
        <f>IFERROR(IF(_xlfn.XLOOKUP(B764, ①オッズ入力!$A$2:$A$19, ①オッズ入力!$D$2:$D$19, "")="", 0, _xlfn.XLOOKUP(B764, ①オッズ入力!$A$2:$A$19, ①オッズ入力!$D$2:$D$19, 0)), 0)</f>
        <v>1.4887511001265043E-2</v>
      </c>
      <c r="F764">
        <f>IFERROR(IF(_xlfn.XLOOKUP(C764, ①オッズ入力!$A$2:$A$19, ①オッズ入力!$D$2:$D$19, "")="", 0, _xlfn.XLOOKUP(C764, ①オッズ入力!$A$2:$A$19, ①オッズ入力!$D$2:$D$19, 0)), 0)</f>
        <v>1.0697612695519792E-2</v>
      </c>
      <c r="G764">
        <f t="shared" si="22"/>
        <v>386616.49383364554</v>
      </c>
      <c r="H764">
        <f>IF(G764="", 0, IF(OR(A764=③資金配分!$D$1, A764=③資金配分!$D$2, B764=③資金配分!$D$1, B764=③資金配分!$D$2, C764=③資金配分!$D$1, C764=③資金配分!$D$2), 0, IF(OR(A764=③資金配分!$D$4, A764=③資金配分!$D$5, A764=③資金配分!$D$6, B764=③資金配分!$D$4, B764=③資金配分!$D$5, B764=③資金配分!$D$6, C764=③資金配分!$D$4, C764=③資金配分!$D$5, C764=③資金配分!$D$6), 0, IF(AND(③資金配分!$B$8&gt;0, G764&lt;=③資金配分!$B$8), 1, 0))))</f>
        <v>0</v>
      </c>
      <c r="I764">
        <f t="shared" si="23"/>
        <v>0</v>
      </c>
      <c r="J764">
        <f>IF(I764&gt;0, ROUND((I764 / SUM($I$2:$I$817)) * ③資金配分!$B$7, -2), 0)</f>
        <v>0</v>
      </c>
    </row>
    <row r="765" spans="1:10" x14ac:dyDescent="0.4">
      <c r="A765">
        <v>11</v>
      </c>
      <c r="B765">
        <v>12</v>
      </c>
      <c r="C765">
        <v>16</v>
      </c>
      <c r="D765">
        <f>IFERROR(IF(_xlfn.XLOOKUP(A765, ①オッズ入力!$A$2:$A$19, ①オッズ入力!$D$2:$D$19, "")="", 0, _xlfn.XLOOKUP(A765, ①オッズ入力!$A$2:$A$19, ①オッズ入力!$D$2:$D$19, 0)), 0)</f>
        <v>1.6240921092289137E-2</v>
      </c>
      <c r="E765">
        <f>IFERROR(IF(_xlfn.XLOOKUP(B765, ①オッズ入力!$A$2:$A$19, ①オッズ入力!$D$2:$D$19, "")="", 0, _xlfn.XLOOKUP(B765, ①オッズ入力!$A$2:$A$19, ①オッズ入力!$D$2:$D$19, 0)), 0)</f>
        <v>1.4887511001265043E-2</v>
      </c>
      <c r="F765">
        <f>IFERROR(IF(_xlfn.XLOOKUP(C765, ①オッズ入力!$A$2:$A$19, ①オッズ入力!$D$2:$D$19, "")="", 0, _xlfn.XLOOKUP(C765, ①オッズ入力!$A$2:$A$19, ①オッズ入力!$D$2:$D$19, 0)), 0)</f>
        <v>9.8701730395127345E-3</v>
      </c>
      <c r="G765">
        <f t="shared" si="22"/>
        <v>419027.45738856198</v>
      </c>
      <c r="H765">
        <f>IF(G765="", 0, IF(OR(A765=③資金配分!$D$1, A765=③資金配分!$D$2, B765=③資金配分!$D$1, B765=③資金配分!$D$2, C765=③資金配分!$D$1, C765=③資金配分!$D$2), 0, IF(OR(A765=③資金配分!$D$4, A765=③資金配分!$D$5, A765=③資金配分!$D$6, B765=③資金配分!$D$4, B765=③資金配分!$D$5, B765=③資金配分!$D$6, C765=③資金配分!$D$4, C765=③資金配分!$D$5, C765=③資金配分!$D$6), 0, IF(AND(③資金配分!$B$8&gt;0, G765&lt;=③資金配分!$B$8), 1, 0))))</f>
        <v>0</v>
      </c>
      <c r="I765">
        <f t="shared" si="23"/>
        <v>0</v>
      </c>
      <c r="J765">
        <f>IF(I765&gt;0, ROUND((I765 / SUM($I$2:$I$817)) * ③資金配分!$B$7, -2), 0)</f>
        <v>0</v>
      </c>
    </row>
    <row r="766" spans="1:10" x14ac:dyDescent="0.4">
      <c r="A766">
        <v>11</v>
      </c>
      <c r="B766">
        <v>12</v>
      </c>
      <c r="C766">
        <v>17</v>
      </c>
      <c r="D766">
        <f>IFERROR(IF(_xlfn.XLOOKUP(A766, ①オッズ入力!$A$2:$A$19, ①オッズ入力!$D$2:$D$19, "")="", 0, _xlfn.XLOOKUP(A766, ①オッズ入力!$A$2:$A$19, ①オッズ入力!$D$2:$D$19, 0)), 0)</f>
        <v>1.6240921092289137E-2</v>
      </c>
      <c r="E766">
        <f>IFERROR(IF(_xlfn.XLOOKUP(B766, ①オッズ入力!$A$2:$A$19, ①オッズ入力!$D$2:$D$19, "")="", 0, _xlfn.XLOOKUP(B766, ①オッズ入力!$A$2:$A$19, ①オッズ入力!$D$2:$D$19, 0)), 0)</f>
        <v>1.4887511001265043E-2</v>
      </c>
      <c r="F766">
        <f>IFERROR(IF(_xlfn.XLOOKUP(C766, ①オッズ入力!$A$2:$A$19, ①オッズ入力!$D$2:$D$19, "")="", 0, _xlfn.XLOOKUP(C766, ①オッズ入力!$A$2:$A$19, ①オッズ入力!$D$2:$D$19, 0)), 0)</f>
        <v>9.1615452315477186E-3</v>
      </c>
      <c r="G766">
        <f t="shared" si="22"/>
        <v>451438.42094347824</v>
      </c>
      <c r="H766">
        <f>IF(G766="", 0, IF(OR(A766=③資金配分!$D$1, A766=③資金配分!$D$2, B766=③資金配分!$D$1, B766=③資金配分!$D$2, C766=③資金配分!$D$1, C766=③資金配分!$D$2), 0, IF(OR(A766=③資金配分!$D$4, A766=③資金配分!$D$5, A766=③資金配分!$D$6, B766=③資金配分!$D$4, B766=③資金配分!$D$5, B766=③資金配分!$D$6, C766=③資金配分!$D$4, C766=③資金配分!$D$5, C766=③資金配分!$D$6), 0, IF(AND(③資金配分!$B$8&gt;0, G766&lt;=③資金配分!$B$8), 1, 0))))</f>
        <v>0</v>
      </c>
      <c r="I766">
        <f t="shared" si="23"/>
        <v>0</v>
      </c>
      <c r="J766">
        <f>IF(I766&gt;0, ROUND((I766 / SUM($I$2:$I$817)) * ③資金配分!$B$7, -2), 0)</f>
        <v>0</v>
      </c>
    </row>
    <row r="767" spans="1:10" x14ac:dyDescent="0.4">
      <c r="A767">
        <v>11</v>
      </c>
      <c r="B767">
        <v>12</v>
      </c>
      <c r="C767">
        <v>18</v>
      </c>
      <c r="D767">
        <f>IFERROR(IF(_xlfn.XLOOKUP(A767, ①オッズ入力!$A$2:$A$19, ①オッズ入力!$D$2:$D$19, "")="", 0, _xlfn.XLOOKUP(A767, ①オッズ入力!$A$2:$A$19, ①オッズ入力!$D$2:$D$19, 0)), 0)</f>
        <v>1.6240921092289137E-2</v>
      </c>
      <c r="E767">
        <f>IFERROR(IF(_xlfn.XLOOKUP(B767, ①オッズ入力!$A$2:$A$19, ①オッズ入力!$D$2:$D$19, "")="", 0, _xlfn.XLOOKUP(B767, ①オッズ入力!$A$2:$A$19, ①オッズ入力!$D$2:$D$19, 0)), 0)</f>
        <v>1.4887511001265043E-2</v>
      </c>
      <c r="F767">
        <f>IFERROR(IF(_xlfn.XLOOKUP(C767, ①オッズ入力!$A$2:$A$19, ①オッズ入力!$D$2:$D$19, "")="", 0, _xlfn.XLOOKUP(C767, ①オッズ入力!$A$2:$A$19, ①オッズ入力!$D$2:$D$19, 0)), 0)</f>
        <v>8.5478532064679671E-3</v>
      </c>
      <c r="G767">
        <f t="shared" si="22"/>
        <v>483849.38449839473</v>
      </c>
      <c r="H767">
        <f>IF(G767="", 0, IF(OR(A767=③資金配分!$D$1, A767=③資金配分!$D$2, B767=③資金配分!$D$1, B767=③資金配分!$D$2, C767=③資金配分!$D$1, C767=③資金配分!$D$2), 0, IF(OR(A767=③資金配分!$D$4, A767=③資金配分!$D$5, A767=③資金配分!$D$6, B767=③資金配分!$D$4, B767=③資金配分!$D$5, B767=③資金配分!$D$6, C767=③資金配分!$D$4, C767=③資金配分!$D$5, C767=③資金配分!$D$6), 0, IF(AND(③資金配分!$B$8&gt;0, G767&lt;=③資金配分!$B$8), 1, 0))))</f>
        <v>0</v>
      </c>
      <c r="I767">
        <f t="shared" si="23"/>
        <v>0</v>
      </c>
      <c r="J767">
        <f>IF(I767&gt;0, ROUND((I767 / SUM($I$2:$I$817)) * ③資金配分!$B$7, -2), 0)</f>
        <v>0</v>
      </c>
    </row>
    <row r="768" spans="1:10" x14ac:dyDescent="0.4">
      <c r="A768">
        <v>11</v>
      </c>
      <c r="B768">
        <v>13</v>
      </c>
      <c r="C768">
        <v>14</v>
      </c>
      <c r="D768">
        <f>IFERROR(IF(_xlfn.XLOOKUP(A768, ①オッズ入力!$A$2:$A$19, ①オッズ入力!$D$2:$D$19, "")="", 0, _xlfn.XLOOKUP(A768, ①オッズ入力!$A$2:$A$19, ①オッズ入力!$D$2:$D$19, 0)), 0)</f>
        <v>1.6240921092289137E-2</v>
      </c>
      <c r="E768">
        <f>IFERROR(IF(_xlfn.XLOOKUP(B768, ①オッズ入力!$A$2:$A$19, ①オッズ入力!$D$2:$D$19, "")="", 0, _xlfn.XLOOKUP(B768, ①オッズ入力!$A$2:$A$19, ①オッズ入力!$D$2:$D$19, 0)), 0)</f>
        <v>1.2760723715370036E-2</v>
      </c>
      <c r="F768">
        <f>IFERROR(IF(_xlfn.XLOOKUP(C768, ①オッズ入力!$A$2:$A$19, ①オッズ入力!$D$2:$D$19, "")="", 0, _xlfn.XLOOKUP(C768, ①オッズ入力!$A$2:$A$19, ①オッズ入力!$D$2:$D$19, 0)), 0)</f>
        <v>1.1525814968721322E-2</v>
      </c>
      <c r="G768">
        <f t="shared" si="22"/>
        <v>418641.61258433678</v>
      </c>
      <c r="H768">
        <f>IF(G768="", 0, IF(OR(A768=③資金配分!$D$1, A768=③資金配分!$D$2, B768=③資金配分!$D$1, B768=③資金配分!$D$2, C768=③資金配分!$D$1, C768=③資金配分!$D$2), 0, IF(OR(A768=③資金配分!$D$4, A768=③資金配分!$D$5, A768=③資金配分!$D$6, B768=③資金配分!$D$4, B768=③資金配分!$D$5, B768=③資金配分!$D$6, C768=③資金配分!$D$4, C768=③資金配分!$D$5, C768=③資金配分!$D$6), 0, IF(AND(③資金配分!$B$8&gt;0, G768&lt;=③資金配分!$B$8), 1, 0))))</f>
        <v>0</v>
      </c>
      <c r="I768">
        <f t="shared" si="23"/>
        <v>0</v>
      </c>
      <c r="J768">
        <f>IF(I768&gt;0, ROUND((I768 / SUM($I$2:$I$817)) * ③資金配分!$B$7, -2), 0)</f>
        <v>0</v>
      </c>
    </row>
    <row r="769" spans="1:10" x14ac:dyDescent="0.4">
      <c r="A769">
        <v>11</v>
      </c>
      <c r="B769">
        <v>13</v>
      </c>
      <c r="C769">
        <v>15</v>
      </c>
      <c r="D769">
        <f>IFERROR(IF(_xlfn.XLOOKUP(A769, ①オッズ入力!$A$2:$A$19, ①オッズ入力!$D$2:$D$19, "")="", 0, _xlfn.XLOOKUP(A769, ①オッズ入力!$A$2:$A$19, ①オッズ入力!$D$2:$D$19, 0)), 0)</f>
        <v>1.6240921092289137E-2</v>
      </c>
      <c r="E769">
        <f>IFERROR(IF(_xlfn.XLOOKUP(B769, ①オッズ入力!$A$2:$A$19, ①オッズ入力!$D$2:$D$19, "")="", 0, _xlfn.XLOOKUP(B769, ①オッズ入力!$A$2:$A$19, ①オッズ入力!$D$2:$D$19, 0)), 0)</f>
        <v>1.2760723715370036E-2</v>
      </c>
      <c r="F769">
        <f>IFERROR(IF(_xlfn.XLOOKUP(C769, ①オッズ入力!$A$2:$A$19, ①オッズ入力!$D$2:$D$19, "")="", 0, _xlfn.XLOOKUP(C769, ①オッズ入力!$A$2:$A$19, ①オッズ入力!$D$2:$D$19, 0)), 0)</f>
        <v>1.0697612695519792E-2</v>
      </c>
      <c r="G769">
        <f t="shared" si="22"/>
        <v>451052.5761392531</v>
      </c>
      <c r="H769">
        <f>IF(G769="", 0, IF(OR(A769=③資金配分!$D$1, A769=③資金配分!$D$2, B769=③資金配分!$D$1, B769=③資金配分!$D$2, C769=③資金配分!$D$1, C769=③資金配分!$D$2), 0, IF(OR(A769=③資金配分!$D$4, A769=③資金配分!$D$5, A769=③資金配分!$D$6, B769=③資金配分!$D$4, B769=③資金配分!$D$5, B769=③資金配分!$D$6, C769=③資金配分!$D$4, C769=③資金配分!$D$5, C769=③資金配分!$D$6), 0, IF(AND(③資金配分!$B$8&gt;0, G769&lt;=③資金配分!$B$8), 1, 0))))</f>
        <v>0</v>
      </c>
      <c r="I769">
        <f t="shared" si="23"/>
        <v>0</v>
      </c>
      <c r="J769">
        <f>IF(I769&gt;0, ROUND((I769 / SUM($I$2:$I$817)) * ③資金配分!$B$7, -2), 0)</f>
        <v>0</v>
      </c>
    </row>
    <row r="770" spans="1:10" x14ac:dyDescent="0.4">
      <c r="A770">
        <v>11</v>
      </c>
      <c r="B770">
        <v>13</v>
      </c>
      <c r="C770">
        <v>16</v>
      </c>
      <c r="D770">
        <f>IFERROR(IF(_xlfn.XLOOKUP(A770, ①オッズ入力!$A$2:$A$19, ①オッズ入力!$D$2:$D$19, "")="", 0, _xlfn.XLOOKUP(A770, ①オッズ入力!$A$2:$A$19, ①オッズ入力!$D$2:$D$19, 0)), 0)</f>
        <v>1.6240921092289137E-2</v>
      </c>
      <c r="E770">
        <f>IFERROR(IF(_xlfn.XLOOKUP(B770, ①オッズ入力!$A$2:$A$19, ①オッズ入力!$D$2:$D$19, "")="", 0, _xlfn.XLOOKUP(B770, ①オッズ入力!$A$2:$A$19, ①オッズ入力!$D$2:$D$19, 0)), 0)</f>
        <v>1.2760723715370036E-2</v>
      </c>
      <c r="F770">
        <f>IFERROR(IF(_xlfn.XLOOKUP(C770, ①オッズ入力!$A$2:$A$19, ①オッズ入力!$D$2:$D$19, "")="", 0, _xlfn.XLOOKUP(C770, ①オッズ入力!$A$2:$A$19, ①オッズ入力!$D$2:$D$19, 0)), 0)</f>
        <v>9.8701730395127345E-3</v>
      </c>
      <c r="G770">
        <f t="shared" si="22"/>
        <v>488865.36695332226</v>
      </c>
      <c r="H770">
        <f>IF(G770="", 0, IF(OR(A770=③資金配分!$D$1, A770=③資金配分!$D$2, B770=③資金配分!$D$1, B770=③資金配分!$D$2, C770=③資金配分!$D$1, C770=③資金配分!$D$2), 0, IF(OR(A770=③資金配分!$D$4, A770=③資金配分!$D$5, A770=③資金配分!$D$6, B770=③資金配分!$D$4, B770=③資金配分!$D$5, B770=③資金配分!$D$6, C770=③資金配分!$D$4, C770=③資金配分!$D$5, C770=③資金配分!$D$6), 0, IF(AND(③資金配分!$B$8&gt;0, G770&lt;=③資金配分!$B$8), 1, 0))))</f>
        <v>0</v>
      </c>
      <c r="I770">
        <f t="shared" si="23"/>
        <v>0</v>
      </c>
      <c r="J770">
        <f>IF(I770&gt;0, ROUND((I770 / SUM($I$2:$I$817)) * ③資金配分!$B$7, -2), 0)</f>
        <v>0</v>
      </c>
    </row>
    <row r="771" spans="1:10" x14ac:dyDescent="0.4">
      <c r="A771">
        <v>11</v>
      </c>
      <c r="B771">
        <v>13</v>
      </c>
      <c r="C771">
        <v>17</v>
      </c>
      <c r="D771">
        <f>IFERROR(IF(_xlfn.XLOOKUP(A771, ①オッズ入力!$A$2:$A$19, ①オッズ入力!$D$2:$D$19, "")="", 0, _xlfn.XLOOKUP(A771, ①オッズ入力!$A$2:$A$19, ①オッズ入力!$D$2:$D$19, 0)), 0)</f>
        <v>1.6240921092289137E-2</v>
      </c>
      <c r="E771">
        <f>IFERROR(IF(_xlfn.XLOOKUP(B771, ①オッズ入力!$A$2:$A$19, ①オッズ入力!$D$2:$D$19, "")="", 0, _xlfn.XLOOKUP(B771, ①オッズ入力!$A$2:$A$19, ①オッズ入力!$D$2:$D$19, 0)), 0)</f>
        <v>1.2760723715370036E-2</v>
      </c>
      <c r="F771">
        <f>IFERROR(IF(_xlfn.XLOOKUP(C771, ①オッズ入力!$A$2:$A$19, ①オッズ入力!$D$2:$D$19, "")="", 0, _xlfn.XLOOKUP(C771, ①オッズ入力!$A$2:$A$19, ①オッズ入力!$D$2:$D$19, 0)), 0)</f>
        <v>9.1615452315477186E-3</v>
      </c>
      <c r="G771">
        <f t="shared" ref="G771:G817" si="24">IF(OR(D771=0, E771=0, F771=0), "", 1/(D771*E771*F771))</f>
        <v>526678.15776739141</v>
      </c>
      <c r="H771">
        <f>IF(G771="", 0, IF(OR(A771=③資金配分!$D$1, A771=③資金配分!$D$2, B771=③資金配分!$D$1, B771=③資金配分!$D$2, C771=③資金配分!$D$1, C771=③資金配分!$D$2), 0, IF(OR(A771=③資金配分!$D$4, A771=③資金配分!$D$5, A771=③資金配分!$D$6, B771=③資金配分!$D$4, B771=③資金配分!$D$5, B771=③資金配分!$D$6, C771=③資金配分!$D$4, C771=③資金配分!$D$5, C771=③資金配分!$D$6), 0, IF(AND(③資金配分!$B$8&gt;0, G771&lt;=③資金配分!$B$8), 1, 0))))</f>
        <v>0</v>
      </c>
      <c r="I771">
        <f t="shared" ref="I771:I817" si="25">IF(H771=1, 1/G771, 0)</f>
        <v>0</v>
      </c>
      <c r="J771">
        <f>IF(I771&gt;0, ROUND((I771 / SUM($I$2:$I$817)) * ③資金配分!$B$7, -2), 0)</f>
        <v>0</v>
      </c>
    </row>
    <row r="772" spans="1:10" x14ac:dyDescent="0.4">
      <c r="A772">
        <v>11</v>
      </c>
      <c r="B772">
        <v>13</v>
      </c>
      <c r="C772">
        <v>18</v>
      </c>
      <c r="D772">
        <f>IFERROR(IF(_xlfn.XLOOKUP(A772, ①オッズ入力!$A$2:$A$19, ①オッズ入力!$D$2:$D$19, "")="", 0, _xlfn.XLOOKUP(A772, ①オッズ入力!$A$2:$A$19, ①オッズ入力!$D$2:$D$19, 0)), 0)</f>
        <v>1.6240921092289137E-2</v>
      </c>
      <c r="E772">
        <f>IFERROR(IF(_xlfn.XLOOKUP(B772, ①オッズ入力!$A$2:$A$19, ①オッズ入力!$D$2:$D$19, "")="", 0, _xlfn.XLOOKUP(B772, ①オッズ入力!$A$2:$A$19, ①オッズ入力!$D$2:$D$19, 0)), 0)</f>
        <v>1.2760723715370036E-2</v>
      </c>
      <c r="F772">
        <f>IFERROR(IF(_xlfn.XLOOKUP(C772, ①オッズ入力!$A$2:$A$19, ①オッズ入力!$D$2:$D$19, "")="", 0, _xlfn.XLOOKUP(C772, ①オッズ入力!$A$2:$A$19, ①オッズ入力!$D$2:$D$19, 0)), 0)</f>
        <v>8.5478532064679671E-3</v>
      </c>
      <c r="G772">
        <f t="shared" si="24"/>
        <v>564490.94858146051</v>
      </c>
      <c r="H772">
        <f>IF(G772="", 0, IF(OR(A772=③資金配分!$D$1, A772=③資金配分!$D$2, B772=③資金配分!$D$1, B772=③資金配分!$D$2, C772=③資金配分!$D$1, C772=③資金配分!$D$2), 0, IF(OR(A772=③資金配分!$D$4, A772=③資金配分!$D$5, A772=③資金配分!$D$6, B772=③資金配分!$D$4, B772=③資金配分!$D$5, B772=③資金配分!$D$6, C772=③資金配分!$D$4, C772=③資金配分!$D$5, C772=③資金配分!$D$6), 0, IF(AND(③資金配分!$B$8&gt;0, G772&lt;=③資金配分!$B$8), 1, 0))))</f>
        <v>0</v>
      </c>
      <c r="I772">
        <f t="shared" si="25"/>
        <v>0</v>
      </c>
      <c r="J772">
        <f>IF(I772&gt;0, ROUND((I772 / SUM($I$2:$I$817)) * ③資金配分!$B$7, -2), 0)</f>
        <v>0</v>
      </c>
    </row>
    <row r="773" spans="1:10" x14ac:dyDescent="0.4">
      <c r="A773">
        <v>11</v>
      </c>
      <c r="B773">
        <v>14</v>
      </c>
      <c r="C773">
        <v>15</v>
      </c>
      <c r="D773">
        <f>IFERROR(IF(_xlfn.XLOOKUP(A773, ①オッズ入力!$A$2:$A$19, ①オッズ入力!$D$2:$D$19, "")="", 0, _xlfn.XLOOKUP(A773, ①オッズ入力!$A$2:$A$19, ①オッズ入力!$D$2:$D$19, 0)), 0)</f>
        <v>1.6240921092289137E-2</v>
      </c>
      <c r="E773">
        <f>IFERROR(IF(_xlfn.XLOOKUP(B773, ①オッズ入力!$A$2:$A$19, ①オッズ入力!$D$2:$D$19, "")="", 0, _xlfn.XLOOKUP(B773, ①オッズ入力!$A$2:$A$19, ①オッズ入力!$D$2:$D$19, 0)), 0)</f>
        <v>1.1525814968721322E-2</v>
      </c>
      <c r="F773">
        <f>IFERROR(IF(_xlfn.XLOOKUP(C773, ①オッズ入力!$A$2:$A$19, ①オッズ入力!$D$2:$D$19, "")="", 0, _xlfn.XLOOKUP(C773, ①オッズ入力!$A$2:$A$19, ①オッズ入力!$D$2:$D$19, 0)), 0)</f>
        <v>1.0697612695519792E-2</v>
      </c>
      <c r="G773">
        <f t="shared" si="24"/>
        <v>499379.63786845875</v>
      </c>
      <c r="H773">
        <f>IF(G773="", 0, IF(OR(A773=③資金配分!$D$1, A773=③資金配分!$D$2, B773=③資金配分!$D$1, B773=③資金配分!$D$2, C773=③資金配分!$D$1, C773=③資金配分!$D$2), 0, IF(OR(A773=③資金配分!$D$4, A773=③資金配分!$D$5, A773=③資金配分!$D$6, B773=③資金配分!$D$4, B773=③資金配分!$D$5, B773=③資金配分!$D$6, C773=③資金配分!$D$4, C773=③資金配分!$D$5, C773=③資金配分!$D$6), 0, IF(AND(③資金配分!$B$8&gt;0, G773&lt;=③資金配分!$B$8), 1, 0))))</f>
        <v>0</v>
      </c>
      <c r="I773">
        <f t="shared" si="25"/>
        <v>0</v>
      </c>
      <c r="J773">
        <f>IF(I773&gt;0, ROUND((I773 / SUM($I$2:$I$817)) * ③資金配分!$B$7, -2), 0)</f>
        <v>0</v>
      </c>
    </row>
    <row r="774" spans="1:10" x14ac:dyDescent="0.4">
      <c r="A774">
        <v>11</v>
      </c>
      <c r="B774">
        <v>14</v>
      </c>
      <c r="C774">
        <v>16</v>
      </c>
      <c r="D774">
        <f>IFERROR(IF(_xlfn.XLOOKUP(A774, ①オッズ入力!$A$2:$A$19, ①オッズ入力!$D$2:$D$19, "")="", 0, _xlfn.XLOOKUP(A774, ①オッズ入力!$A$2:$A$19, ①オッズ入力!$D$2:$D$19, 0)), 0)</f>
        <v>1.6240921092289137E-2</v>
      </c>
      <c r="E774">
        <f>IFERROR(IF(_xlfn.XLOOKUP(B774, ①オッズ入力!$A$2:$A$19, ①オッズ入力!$D$2:$D$19, "")="", 0, _xlfn.XLOOKUP(B774, ①オッズ入力!$A$2:$A$19, ①オッズ入力!$D$2:$D$19, 0)), 0)</f>
        <v>1.1525814968721322E-2</v>
      </c>
      <c r="F774">
        <f>IFERROR(IF(_xlfn.XLOOKUP(C774, ①オッズ入力!$A$2:$A$19, ①オッズ入力!$D$2:$D$19, "")="", 0, _xlfn.XLOOKUP(C774, ①オッズ入力!$A$2:$A$19, ①オッズ入力!$D$2:$D$19, 0)), 0)</f>
        <v>9.8701730395127345E-3</v>
      </c>
      <c r="G774">
        <f t="shared" si="24"/>
        <v>541243.79912689258</v>
      </c>
      <c r="H774">
        <f>IF(G774="", 0, IF(OR(A774=③資金配分!$D$1, A774=③資金配分!$D$2, B774=③資金配分!$D$1, B774=③資金配分!$D$2, C774=③資金配分!$D$1, C774=③資金配分!$D$2), 0, IF(OR(A774=③資金配分!$D$4, A774=③資金配分!$D$5, A774=③資金配分!$D$6, B774=③資金配分!$D$4, B774=③資金配分!$D$5, B774=③資金配分!$D$6, C774=③資金配分!$D$4, C774=③資金配分!$D$5, C774=③資金配分!$D$6), 0, IF(AND(③資金配分!$B$8&gt;0, G774&lt;=③資金配分!$B$8), 1, 0))))</f>
        <v>0</v>
      </c>
      <c r="I774">
        <f t="shared" si="25"/>
        <v>0</v>
      </c>
      <c r="J774">
        <f>IF(I774&gt;0, ROUND((I774 / SUM($I$2:$I$817)) * ③資金配分!$B$7, -2), 0)</f>
        <v>0</v>
      </c>
    </row>
    <row r="775" spans="1:10" x14ac:dyDescent="0.4">
      <c r="A775">
        <v>11</v>
      </c>
      <c r="B775">
        <v>14</v>
      </c>
      <c r="C775">
        <v>17</v>
      </c>
      <c r="D775">
        <f>IFERROR(IF(_xlfn.XLOOKUP(A775, ①オッズ入力!$A$2:$A$19, ①オッズ入力!$D$2:$D$19, "")="", 0, _xlfn.XLOOKUP(A775, ①オッズ入力!$A$2:$A$19, ①オッズ入力!$D$2:$D$19, 0)), 0)</f>
        <v>1.6240921092289137E-2</v>
      </c>
      <c r="E775">
        <f>IFERROR(IF(_xlfn.XLOOKUP(B775, ①オッズ入力!$A$2:$A$19, ①オッズ入力!$D$2:$D$19, "")="", 0, _xlfn.XLOOKUP(B775, ①オッズ入力!$A$2:$A$19, ①オッズ入力!$D$2:$D$19, 0)), 0)</f>
        <v>1.1525814968721322E-2</v>
      </c>
      <c r="F775">
        <f>IFERROR(IF(_xlfn.XLOOKUP(C775, ①オッズ入力!$A$2:$A$19, ①オッズ入力!$D$2:$D$19, "")="", 0, _xlfn.XLOOKUP(C775, ①オッズ入力!$A$2:$A$19, ①オッズ入力!$D$2:$D$19, 0)), 0)</f>
        <v>9.1615452315477186E-3</v>
      </c>
      <c r="G775">
        <f t="shared" si="24"/>
        <v>583107.96038532606</v>
      </c>
      <c r="H775">
        <f>IF(G775="", 0, IF(OR(A775=③資金配分!$D$1, A775=③資金配分!$D$2, B775=③資金配分!$D$1, B775=③資金配分!$D$2, C775=③資金配分!$D$1, C775=③資金配分!$D$2), 0, IF(OR(A775=③資金配分!$D$4, A775=③資金配分!$D$5, A775=③資金配分!$D$6, B775=③資金配分!$D$4, B775=③資金配分!$D$5, B775=③資金配分!$D$6, C775=③資金配分!$D$4, C775=③資金配分!$D$5, C775=③資金配分!$D$6), 0, IF(AND(③資金配分!$B$8&gt;0, G775&lt;=③資金配分!$B$8), 1, 0))))</f>
        <v>0</v>
      </c>
      <c r="I775">
        <f t="shared" si="25"/>
        <v>0</v>
      </c>
      <c r="J775">
        <f>IF(I775&gt;0, ROUND((I775 / SUM($I$2:$I$817)) * ③資金配分!$B$7, -2), 0)</f>
        <v>0</v>
      </c>
    </row>
    <row r="776" spans="1:10" x14ac:dyDescent="0.4">
      <c r="A776">
        <v>11</v>
      </c>
      <c r="B776">
        <v>14</v>
      </c>
      <c r="C776">
        <v>18</v>
      </c>
      <c r="D776">
        <f>IFERROR(IF(_xlfn.XLOOKUP(A776, ①オッズ入力!$A$2:$A$19, ①オッズ入力!$D$2:$D$19, "")="", 0, _xlfn.XLOOKUP(A776, ①オッズ入力!$A$2:$A$19, ①オッズ入力!$D$2:$D$19, 0)), 0)</f>
        <v>1.6240921092289137E-2</v>
      </c>
      <c r="E776">
        <f>IFERROR(IF(_xlfn.XLOOKUP(B776, ①オッズ入力!$A$2:$A$19, ①オッズ入力!$D$2:$D$19, "")="", 0, _xlfn.XLOOKUP(B776, ①オッズ入力!$A$2:$A$19, ①オッズ入力!$D$2:$D$19, 0)), 0)</f>
        <v>1.1525814968721322E-2</v>
      </c>
      <c r="F776">
        <f>IFERROR(IF(_xlfn.XLOOKUP(C776, ①オッズ入力!$A$2:$A$19, ①オッズ入力!$D$2:$D$19, "")="", 0, _xlfn.XLOOKUP(C776, ①オッズ入力!$A$2:$A$19, ①オッズ入力!$D$2:$D$19, 0)), 0)</f>
        <v>8.5478532064679671E-3</v>
      </c>
      <c r="G776">
        <f t="shared" si="24"/>
        <v>624972.12164375978</v>
      </c>
      <c r="H776">
        <f>IF(G776="", 0, IF(OR(A776=③資金配分!$D$1, A776=③資金配分!$D$2, B776=③資金配分!$D$1, B776=③資金配分!$D$2, C776=③資金配分!$D$1, C776=③資金配分!$D$2), 0, IF(OR(A776=③資金配分!$D$4, A776=③資金配分!$D$5, A776=③資金配分!$D$6, B776=③資金配分!$D$4, B776=③資金配分!$D$5, B776=③資金配分!$D$6, C776=③資金配分!$D$4, C776=③資金配分!$D$5, C776=③資金配分!$D$6), 0, IF(AND(③資金配分!$B$8&gt;0, G776&lt;=③資金配分!$B$8), 1, 0))))</f>
        <v>0</v>
      </c>
      <c r="I776">
        <f t="shared" si="25"/>
        <v>0</v>
      </c>
      <c r="J776">
        <f>IF(I776&gt;0, ROUND((I776 / SUM($I$2:$I$817)) * ③資金配分!$B$7, -2), 0)</f>
        <v>0</v>
      </c>
    </row>
    <row r="777" spans="1:10" x14ac:dyDescent="0.4">
      <c r="A777">
        <v>11</v>
      </c>
      <c r="B777">
        <v>15</v>
      </c>
      <c r="C777">
        <v>16</v>
      </c>
      <c r="D777">
        <f>IFERROR(IF(_xlfn.XLOOKUP(A777, ①オッズ入力!$A$2:$A$19, ①オッズ入力!$D$2:$D$19, "")="", 0, _xlfn.XLOOKUP(A777, ①オッズ入力!$A$2:$A$19, ①オッズ入力!$D$2:$D$19, 0)), 0)</f>
        <v>1.6240921092289137E-2</v>
      </c>
      <c r="E777">
        <f>IFERROR(IF(_xlfn.XLOOKUP(B777, ①オッズ入力!$A$2:$A$19, ①オッズ入力!$D$2:$D$19, "")="", 0, _xlfn.XLOOKUP(B777, ①オッズ入力!$A$2:$A$19, ①オッズ入力!$D$2:$D$19, 0)), 0)</f>
        <v>1.0697612695519792E-2</v>
      </c>
      <c r="F777">
        <f>IFERROR(IF(_xlfn.XLOOKUP(C777, ①オッズ入力!$A$2:$A$19, ①オッズ入力!$D$2:$D$19, "")="", 0, _xlfn.XLOOKUP(C777, ①オッズ入力!$A$2:$A$19, ①オッズ入力!$D$2:$D$19, 0)), 0)</f>
        <v>9.8701730395127345E-3</v>
      </c>
      <c r="G777">
        <f t="shared" si="24"/>
        <v>583146.54486574873</v>
      </c>
      <c r="H777">
        <f>IF(G777="", 0, IF(OR(A777=③資金配分!$D$1, A777=③資金配分!$D$2, B777=③資金配分!$D$1, B777=③資金配分!$D$2, C777=③資金配分!$D$1, C777=③資金配分!$D$2), 0, IF(OR(A777=③資金配分!$D$4, A777=③資金配分!$D$5, A777=③資金配分!$D$6, B777=③資金配分!$D$4, B777=③資金配分!$D$5, B777=③資金配分!$D$6, C777=③資金配分!$D$4, C777=③資金配分!$D$5, C777=③資金配分!$D$6), 0, IF(AND(③資金配分!$B$8&gt;0, G777&lt;=③資金配分!$B$8), 1, 0))))</f>
        <v>0</v>
      </c>
      <c r="I777">
        <f t="shared" si="25"/>
        <v>0</v>
      </c>
      <c r="J777">
        <f>IF(I777&gt;0, ROUND((I777 / SUM($I$2:$I$817)) * ③資金配分!$B$7, -2), 0)</f>
        <v>0</v>
      </c>
    </row>
    <row r="778" spans="1:10" x14ac:dyDescent="0.4">
      <c r="A778">
        <v>11</v>
      </c>
      <c r="B778">
        <v>15</v>
      </c>
      <c r="C778">
        <v>17</v>
      </c>
      <c r="D778">
        <f>IFERROR(IF(_xlfn.XLOOKUP(A778, ①オッズ入力!$A$2:$A$19, ①オッズ入力!$D$2:$D$19, "")="", 0, _xlfn.XLOOKUP(A778, ①オッズ入力!$A$2:$A$19, ①オッズ入力!$D$2:$D$19, 0)), 0)</f>
        <v>1.6240921092289137E-2</v>
      </c>
      <c r="E778">
        <f>IFERROR(IF(_xlfn.XLOOKUP(B778, ①オッズ入力!$A$2:$A$19, ①オッズ入力!$D$2:$D$19, "")="", 0, _xlfn.XLOOKUP(B778, ①オッズ入力!$A$2:$A$19, ①オッズ入力!$D$2:$D$19, 0)), 0)</f>
        <v>1.0697612695519792E-2</v>
      </c>
      <c r="F778">
        <f>IFERROR(IF(_xlfn.XLOOKUP(C778, ①オッズ入力!$A$2:$A$19, ①オッズ入力!$D$2:$D$19, "")="", 0, _xlfn.XLOOKUP(C778, ①オッズ入力!$A$2:$A$19, ①オッズ入力!$D$2:$D$19, 0)), 0)</f>
        <v>9.1615452315477186E-3</v>
      </c>
      <c r="G778">
        <f t="shared" si="24"/>
        <v>628251.80247967399</v>
      </c>
      <c r="H778">
        <f>IF(G778="", 0, IF(OR(A778=③資金配分!$D$1, A778=③資金配分!$D$2, B778=③資金配分!$D$1, B778=③資金配分!$D$2, C778=③資金配分!$D$1, C778=③資金配分!$D$2), 0, IF(OR(A778=③資金配分!$D$4, A778=③資金配分!$D$5, A778=③資金配分!$D$6, B778=③資金配分!$D$4, B778=③資金配分!$D$5, B778=③資金配分!$D$6, C778=③資金配分!$D$4, C778=③資金配分!$D$5, C778=③資金配分!$D$6), 0, IF(AND(③資金配分!$B$8&gt;0, G778&lt;=③資金配分!$B$8), 1, 0))))</f>
        <v>0</v>
      </c>
      <c r="I778">
        <f t="shared" si="25"/>
        <v>0</v>
      </c>
      <c r="J778">
        <f>IF(I778&gt;0, ROUND((I778 / SUM($I$2:$I$817)) * ③資金配分!$B$7, -2), 0)</f>
        <v>0</v>
      </c>
    </row>
    <row r="779" spans="1:10" x14ac:dyDescent="0.4">
      <c r="A779">
        <v>11</v>
      </c>
      <c r="B779">
        <v>15</v>
      </c>
      <c r="C779">
        <v>18</v>
      </c>
      <c r="D779">
        <f>IFERROR(IF(_xlfn.XLOOKUP(A779, ①オッズ入力!$A$2:$A$19, ①オッズ入力!$D$2:$D$19, "")="", 0, _xlfn.XLOOKUP(A779, ①オッズ入力!$A$2:$A$19, ①オッズ入力!$D$2:$D$19, 0)), 0)</f>
        <v>1.6240921092289137E-2</v>
      </c>
      <c r="E779">
        <f>IFERROR(IF(_xlfn.XLOOKUP(B779, ①オッズ入力!$A$2:$A$19, ①オッズ入力!$D$2:$D$19, "")="", 0, _xlfn.XLOOKUP(B779, ①オッズ入力!$A$2:$A$19, ①オッズ入力!$D$2:$D$19, 0)), 0)</f>
        <v>1.0697612695519792E-2</v>
      </c>
      <c r="F779">
        <f>IFERROR(IF(_xlfn.XLOOKUP(C779, ①オッズ入力!$A$2:$A$19, ①オッズ入力!$D$2:$D$19, "")="", 0, _xlfn.XLOOKUP(C779, ①オッズ入力!$A$2:$A$19, ①オッズ入力!$D$2:$D$19, 0)), 0)</f>
        <v>8.5478532064679671E-3</v>
      </c>
      <c r="G779">
        <f t="shared" si="24"/>
        <v>673357.06009359926</v>
      </c>
      <c r="H779">
        <f>IF(G779="", 0, IF(OR(A779=③資金配分!$D$1, A779=③資金配分!$D$2, B779=③資金配分!$D$1, B779=③資金配分!$D$2, C779=③資金配分!$D$1, C779=③資金配分!$D$2), 0, IF(OR(A779=③資金配分!$D$4, A779=③資金配分!$D$5, A779=③資金配分!$D$6, B779=③資金配分!$D$4, B779=③資金配分!$D$5, B779=③資金配分!$D$6, C779=③資金配分!$D$4, C779=③資金配分!$D$5, C779=③資金配分!$D$6), 0, IF(AND(③資金配分!$B$8&gt;0, G779&lt;=③資金配分!$B$8), 1, 0))))</f>
        <v>0</v>
      </c>
      <c r="I779">
        <f t="shared" si="25"/>
        <v>0</v>
      </c>
      <c r="J779">
        <f>IF(I779&gt;0, ROUND((I779 / SUM($I$2:$I$817)) * ③資金配分!$B$7, -2), 0)</f>
        <v>0</v>
      </c>
    </row>
    <row r="780" spans="1:10" x14ac:dyDescent="0.4">
      <c r="A780">
        <v>11</v>
      </c>
      <c r="B780">
        <v>16</v>
      </c>
      <c r="C780">
        <v>17</v>
      </c>
      <c r="D780">
        <f>IFERROR(IF(_xlfn.XLOOKUP(A780, ①オッズ入力!$A$2:$A$19, ①オッズ入力!$D$2:$D$19, "")="", 0, _xlfn.XLOOKUP(A780, ①オッズ入力!$A$2:$A$19, ①オッズ入力!$D$2:$D$19, 0)), 0)</f>
        <v>1.6240921092289137E-2</v>
      </c>
      <c r="E780">
        <f>IFERROR(IF(_xlfn.XLOOKUP(B780, ①オッズ入力!$A$2:$A$19, ①オッズ入力!$D$2:$D$19, "")="", 0, _xlfn.XLOOKUP(B780, ①オッズ入力!$A$2:$A$19, ①オッズ入力!$D$2:$D$19, 0)), 0)</f>
        <v>9.8701730395127345E-3</v>
      </c>
      <c r="F780">
        <f>IFERROR(IF(_xlfn.XLOOKUP(C780, ①オッズ入力!$A$2:$A$19, ①オッズ入力!$D$2:$D$19, "")="", 0, _xlfn.XLOOKUP(C780, ①オッズ入力!$A$2:$A$19, ①オッズ入力!$D$2:$D$19, 0)), 0)</f>
        <v>9.1615452315477186E-3</v>
      </c>
      <c r="G780">
        <f t="shared" si="24"/>
        <v>680919.61825641326</v>
      </c>
      <c r="H780">
        <f>IF(G780="", 0, IF(OR(A780=③資金配分!$D$1, A780=③資金配分!$D$2, B780=③資金配分!$D$1, B780=③資金配分!$D$2, C780=③資金配分!$D$1, C780=③資金配分!$D$2), 0, IF(OR(A780=③資金配分!$D$4, A780=③資金配分!$D$5, A780=③資金配分!$D$6, B780=③資金配分!$D$4, B780=③資金配分!$D$5, B780=③資金配分!$D$6, C780=③資金配分!$D$4, C780=③資金配分!$D$5, C780=③資金配分!$D$6), 0, IF(AND(③資金配分!$B$8&gt;0, G780&lt;=③資金配分!$B$8), 1, 0))))</f>
        <v>0</v>
      </c>
      <c r="I780">
        <f t="shared" si="25"/>
        <v>0</v>
      </c>
      <c r="J780">
        <f>IF(I780&gt;0, ROUND((I780 / SUM($I$2:$I$817)) * ③資金配分!$B$7, -2), 0)</f>
        <v>0</v>
      </c>
    </row>
    <row r="781" spans="1:10" x14ac:dyDescent="0.4">
      <c r="A781">
        <v>11</v>
      </c>
      <c r="B781">
        <v>16</v>
      </c>
      <c r="C781">
        <v>18</v>
      </c>
      <c r="D781">
        <f>IFERROR(IF(_xlfn.XLOOKUP(A781, ①オッズ入力!$A$2:$A$19, ①オッズ入力!$D$2:$D$19, "")="", 0, _xlfn.XLOOKUP(A781, ①オッズ入力!$A$2:$A$19, ①オッズ入力!$D$2:$D$19, 0)), 0)</f>
        <v>1.6240921092289137E-2</v>
      </c>
      <c r="E781">
        <f>IFERROR(IF(_xlfn.XLOOKUP(B781, ①オッズ入力!$A$2:$A$19, ①オッズ入力!$D$2:$D$19, "")="", 0, _xlfn.XLOOKUP(B781, ①オッズ入力!$A$2:$A$19, ①オッズ入力!$D$2:$D$19, 0)), 0)</f>
        <v>9.8701730395127345E-3</v>
      </c>
      <c r="F781">
        <f>IFERROR(IF(_xlfn.XLOOKUP(C781, ①オッズ入力!$A$2:$A$19, ①オッズ入力!$D$2:$D$19, "")="", 0, _xlfn.XLOOKUP(C781, ①オッズ入力!$A$2:$A$19, ①オッズ入力!$D$2:$D$19, 0)), 0)</f>
        <v>8.5478532064679671E-3</v>
      </c>
      <c r="G781">
        <f t="shared" si="24"/>
        <v>729806.15495174541</v>
      </c>
      <c r="H781">
        <f>IF(G781="", 0, IF(OR(A781=③資金配分!$D$1, A781=③資金配分!$D$2, B781=③資金配分!$D$1, B781=③資金配分!$D$2, C781=③資金配分!$D$1, C781=③資金配分!$D$2), 0, IF(OR(A781=③資金配分!$D$4, A781=③資金配分!$D$5, A781=③資金配分!$D$6, B781=③資金配分!$D$4, B781=③資金配分!$D$5, B781=③資金配分!$D$6, C781=③資金配分!$D$4, C781=③資金配分!$D$5, C781=③資金配分!$D$6), 0, IF(AND(③資金配分!$B$8&gt;0, G781&lt;=③資金配分!$B$8), 1, 0))))</f>
        <v>0</v>
      </c>
      <c r="I781">
        <f t="shared" si="25"/>
        <v>0</v>
      </c>
      <c r="J781">
        <f>IF(I781&gt;0, ROUND((I781 / SUM($I$2:$I$817)) * ③資金配分!$B$7, -2), 0)</f>
        <v>0</v>
      </c>
    </row>
    <row r="782" spans="1:10" x14ac:dyDescent="0.4">
      <c r="A782">
        <v>11</v>
      </c>
      <c r="B782">
        <v>17</v>
      </c>
      <c r="C782">
        <v>18</v>
      </c>
      <c r="D782">
        <f>IFERROR(IF(_xlfn.XLOOKUP(A782, ①オッズ入力!$A$2:$A$19, ①オッズ入力!$D$2:$D$19, "")="", 0, _xlfn.XLOOKUP(A782, ①オッズ入力!$A$2:$A$19, ①オッズ入力!$D$2:$D$19, 0)), 0)</f>
        <v>1.6240921092289137E-2</v>
      </c>
      <c r="E782">
        <f>IFERROR(IF(_xlfn.XLOOKUP(B782, ①オッズ入力!$A$2:$A$19, ①オッズ入力!$D$2:$D$19, "")="", 0, _xlfn.XLOOKUP(B782, ①オッズ入力!$A$2:$A$19, ①オッズ入力!$D$2:$D$19, 0)), 0)</f>
        <v>9.1615452315477186E-3</v>
      </c>
      <c r="F782">
        <f>IFERROR(IF(_xlfn.XLOOKUP(C782, ①オッズ入力!$A$2:$A$19, ①オッズ入力!$D$2:$D$19, "")="", 0, _xlfn.XLOOKUP(C782, ①オッズ入力!$A$2:$A$19, ①オッズ入力!$D$2:$D$19, 0)), 0)</f>
        <v>8.5478532064679671E-3</v>
      </c>
      <c r="G782">
        <f t="shared" si="24"/>
        <v>786255.24980989145</v>
      </c>
      <c r="H782">
        <f>IF(G782="", 0, IF(OR(A782=③資金配分!$D$1, A782=③資金配分!$D$2, B782=③資金配分!$D$1, B782=③資金配分!$D$2, C782=③資金配分!$D$1, C782=③資金配分!$D$2), 0, IF(OR(A782=③資金配分!$D$4, A782=③資金配分!$D$5, A782=③資金配分!$D$6, B782=③資金配分!$D$4, B782=③資金配分!$D$5, B782=③資金配分!$D$6, C782=③資金配分!$D$4, C782=③資金配分!$D$5, C782=③資金配分!$D$6), 0, IF(AND(③資金配分!$B$8&gt;0, G782&lt;=③資金配分!$B$8), 1, 0))))</f>
        <v>0</v>
      </c>
      <c r="I782">
        <f t="shared" si="25"/>
        <v>0</v>
      </c>
      <c r="J782">
        <f>IF(I782&gt;0, ROUND((I782 / SUM($I$2:$I$817)) * ③資金配分!$B$7, -2), 0)</f>
        <v>0</v>
      </c>
    </row>
    <row r="783" spans="1:10" x14ac:dyDescent="0.4">
      <c r="A783">
        <v>12</v>
      </c>
      <c r="B783">
        <v>13</v>
      </c>
      <c r="C783">
        <v>14</v>
      </c>
      <c r="D783">
        <f>IFERROR(IF(_xlfn.XLOOKUP(A783, ①オッズ入力!$A$2:$A$19, ①オッズ入力!$D$2:$D$19, "")="", 0, _xlfn.XLOOKUP(A783, ①オッズ入力!$A$2:$A$19, ①オッズ入力!$D$2:$D$19, 0)), 0)</f>
        <v>1.4887511001265043E-2</v>
      </c>
      <c r="E783">
        <f>IFERROR(IF(_xlfn.XLOOKUP(B783, ①オッズ入力!$A$2:$A$19, ①オッズ入力!$D$2:$D$19, "")="", 0, _xlfn.XLOOKUP(B783, ①オッズ入力!$A$2:$A$19, ①オッズ入力!$D$2:$D$19, 0)), 0)</f>
        <v>1.2760723715370036E-2</v>
      </c>
      <c r="F783">
        <f>IFERROR(IF(_xlfn.XLOOKUP(C783, ①オッズ入力!$A$2:$A$19, ①オッズ入力!$D$2:$D$19, "")="", 0, _xlfn.XLOOKUP(C783, ①オッズ入力!$A$2:$A$19, ①オッズ入力!$D$2:$D$19, 0)), 0)</f>
        <v>1.1525814968721322E-2</v>
      </c>
      <c r="G783">
        <f t="shared" si="24"/>
        <v>456699.94100109459</v>
      </c>
      <c r="H783">
        <f>IF(G783="", 0, IF(OR(A783=③資金配分!$D$1, A783=③資金配分!$D$2, B783=③資金配分!$D$1, B783=③資金配分!$D$2, C783=③資金配分!$D$1, C783=③資金配分!$D$2), 0, IF(OR(A783=③資金配分!$D$4, A783=③資金配分!$D$5, A783=③資金配分!$D$6, B783=③資金配分!$D$4, B783=③資金配分!$D$5, B783=③資金配分!$D$6, C783=③資金配分!$D$4, C783=③資金配分!$D$5, C783=③資金配分!$D$6), 0, IF(AND(③資金配分!$B$8&gt;0, G783&lt;=③資金配分!$B$8), 1, 0))))</f>
        <v>0</v>
      </c>
      <c r="I783">
        <f t="shared" si="25"/>
        <v>0</v>
      </c>
      <c r="J783">
        <f>IF(I783&gt;0, ROUND((I783 / SUM($I$2:$I$817)) * ③資金配分!$B$7, -2), 0)</f>
        <v>0</v>
      </c>
    </row>
    <row r="784" spans="1:10" x14ac:dyDescent="0.4">
      <c r="A784">
        <v>12</v>
      </c>
      <c r="B784">
        <v>13</v>
      </c>
      <c r="C784">
        <v>15</v>
      </c>
      <c r="D784">
        <f>IFERROR(IF(_xlfn.XLOOKUP(A784, ①オッズ入力!$A$2:$A$19, ①オッズ入力!$D$2:$D$19, "")="", 0, _xlfn.XLOOKUP(A784, ①オッズ入力!$A$2:$A$19, ①オッズ入力!$D$2:$D$19, 0)), 0)</f>
        <v>1.4887511001265043E-2</v>
      </c>
      <c r="E784">
        <f>IFERROR(IF(_xlfn.XLOOKUP(B784, ①オッズ入力!$A$2:$A$19, ①オッズ入力!$D$2:$D$19, "")="", 0, _xlfn.XLOOKUP(B784, ①オッズ入力!$A$2:$A$19, ①オッズ入力!$D$2:$D$19, 0)), 0)</f>
        <v>1.2760723715370036E-2</v>
      </c>
      <c r="F784">
        <f>IFERROR(IF(_xlfn.XLOOKUP(C784, ①オッズ入力!$A$2:$A$19, ①オッズ入力!$D$2:$D$19, "")="", 0, _xlfn.XLOOKUP(C784, ①オッズ入力!$A$2:$A$19, ①オッズ入力!$D$2:$D$19, 0)), 0)</f>
        <v>1.0697612695519792E-2</v>
      </c>
      <c r="G784">
        <f t="shared" si="24"/>
        <v>492057.35578827607</v>
      </c>
      <c r="H784">
        <f>IF(G784="", 0, IF(OR(A784=③資金配分!$D$1, A784=③資金配分!$D$2, B784=③資金配分!$D$1, B784=③資金配分!$D$2, C784=③資金配分!$D$1, C784=③資金配分!$D$2), 0, IF(OR(A784=③資金配分!$D$4, A784=③資金配分!$D$5, A784=③資金配分!$D$6, B784=③資金配分!$D$4, B784=③資金配分!$D$5, B784=③資金配分!$D$6, C784=③資金配分!$D$4, C784=③資金配分!$D$5, C784=③資金配分!$D$6), 0, IF(AND(③資金配分!$B$8&gt;0, G784&lt;=③資金配分!$B$8), 1, 0))))</f>
        <v>0</v>
      </c>
      <c r="I784">
        <f t="shared" si="25"/>
        <v>0</v>
      </c>
      <c r="J784">
        <f>IF(I784&gt;0, ROUND((I784 / SUM($I$2:$I$817)) * ③資金配分!$B$7, -2), 0)</f>
        <v>0</v>
      </c>
    </row>
    <row r="785" spans="1:10" x14ac:dyDescent="0.4">
      <c r="A785">
        <v>12</v>
      </c>
      <c r="B785">
        <v>13</v>
      </c>
      <c r="C785">
        <v>16</v>
      </c>
      <c r="D785">
        <f>IFERROR(IF(_xlfn.XLOOKUP(A785, ①オッズ入力!$A$2:$A$19, ①オッズ入力!$D$2:$D$19, "")="", 0, _xlfn.XLOOKUP(A785, ①オッズ入力!$A$2:$A$19, ①オッズ入力!$D$2:$D$19, 0)), 0)</f>
        <v>1.4887511001265043E-2</v>
      </c>
      <c r="E785">
        <f>IFERROR(IF(_xlfn.XLOOKUP(B785, ①オッズ入力!$A$2:$A$19, ①オッズ入力!$D$2:$D$19, "")="", 0, _xlfn.XLOOKUP(B785, ①オッズ入力!$A$2:$A$19, ①オッズ入力!$D$2:$D$19, 0)), 0)</f>
        <v>1.2760723715370036E-2</v>
      </c>
      <c r="F785">
        <f>IFERROR(IF(_xlfn.XLOOKUP(C785, ①オッズ入力!$A$2:$A$19, ①オッズ入力!$D$2:$D$19, "")="", 0, _xlfn.XLOOKUP(C785, ①オッズ入力!$A$2:$A$19, ①オッズ入力!$D$2:$D$19, 0)), 0)</f>
        <v>9.8701730395127345E-3</v>
      </c>
      <c r="G785">
        <f t="shared" si="24"/>
        <v>533307.67303998792</v>
      </c>
      <c r="H785">
        <f>IF(G785="", 0, IF(OR(A785=③資金配分!$D$1, A785=③資金配分!$D$2, B785=③資金配分!$D$1, B785=③資金配分!$D$2, C785=③資金配分!$D$1, C785=③資金配分!$D$2), 0, IF(OR(A785=③資金配分!$D$4, A785=③資金配分!$D$5, A785=③資金配分!$D$6, B785=③資金配分!$D$4, B785=③資金配分!$D$5, B785=③資金配分!$D$6, C785=③資金配分!$D$4, C785=③資金配分!$D$5, C785=③資金配分!$D$6), 0, IF(AND(③資金配分!$B$8&gt;0, G785&lt;=③資金配分!$B$8), 1, 0))))</f>
        <v>0</v>
      </c>
      <c r="I785">
        <f t="shared" si="25"/>
        <v>0</v>
      </c>
      <c r="J785">
        <f>IF(I785&gt;0, ROUND((I785 / SUM($I$2:$I$817)) * ③資金配分!$B$7, -2), 0)</f>
        <v>0</v>
      </c>
    </row>
    <row r="786" spans="1:10" x14ac:dyDescent="0.4">
      <c r="A786">
        <v>12</v>
      </c>
      <c r="B786">
        <v>13</v>
      </c>
      <c r="C786">
        <v>17</v>
      </c>
      <c r="D786">
        <f>IFERROR(IF(_xlfn.XLOOKUP(A786, ①オッズ入力!$A$2:$A$19, ①オッズ入力!$D$2:$D$19, "")="", 0, _xlfn.XLOOKUP(A786, ①オッズ入力!$A$2:$A$19, ①オッズ入力!$D$2:$D$19, 0)), 0)</f>
        <v>1.4887511001265043E-2</v>
      </c>
      <c r="E786">
        <f>IFERROR(IF(_xlfn.XLOOKUP(B786, ①オッズ入力!$A$2:$A$19, ①オッズ入力!$D$2:$D$19, "")="", 0, _xlfn.XLOOKUP(B786, ①オッズ入力!$A$2:$A$19, ①オッズ入力!$D$2:$D$19, 0)), 0)</f>
        <v>1.2760723715370036E-2</v>
      </c>
      <c r="F786">
        <f>IFERROR(IF(_xlfn.XLOOKUP(C786, ①オッズ入力!$A$2:$A$19, ①オッズ入力!$D$2:$D$19, "")="", 0, _xlfn.XLOOKUP(C786, ①オッズ入力!$A$2:$A$19, ①オッズ入力!$D$2:$D$19, 0)), 0)</f>
        <v>9.1615452315477186E-3</v>
      </c>
      <c r="G786">
        <f t="shared" si="24"/>
        <v>574557.99029169965</v>
      </c>
      <c r="H786">
        <f>IF(G786="", 0, IF(OR(A786=③資金配分!$D$1, A786=③資金配分!$D$2, B786=③資金配分!$D$1, B786=③資金配分!$D$2, C786=③資金配分!$D$1, C786=③資金配分!$D$2), 0, IF(OR(A786=③資金配分!$D$4, A786=③資金配分!$D$5, A786=③資金配分!$D$6, B786=③資金配分!$D$4, B786=③資金配分!$D$5, B786=③資金配分!$D$6, C786=③資金配分!$D$4, C786=③資金配分!$D$5, C786=③資金配分!$D$6), 0, IF(AND(③資金配分!$B$8&gt;0, G786&lt;=③資金配分!$B$8), 1, 0))))</f>
        <v>0</v>
      </c>
      <c r="I786">
        <f t="shared" si="25"/>
        <v>0</v>
      </c>
      <c r="J786">
        <f>IF(I786&gt;0, ROUND((I786 / SUM($I$2:$I$817)) * ③資金配分!$B$7, -2), 0)</f>
        <v>0</v>
      </c>
    </row>
    <row r="787" spans="1:10" x14ac:dyDescent="0.4">
      <c r="A787">
        <v>12</v>
      </c>
      <c r="B787">
        <v>13</v>
      </c>
      <c r="C787">
        <v>18</v>
      </c>
      <c r="D787">
        <f>IFERROR(IF(_xlfn.XLOOKUP(A787, ①オッズ入力!$A$2:$A$19, ①オッズ入力!$D$2:$D$19, "")="", 0, _xlfn.XLOOKUP(A787, ①オッズ入力!$A$2:$A$19, ①オッズ入力!$D$2:$D$19, 0)), 0)</f>
        <v>1.4887511001265043E-2</v>
      </c>
      <c r="E787">
        <f>IFERROR(IF(_xlfn.XLOOKUP(B787, ①オッズ入力!$A$2:$A$19, ①オッズ入力!$D$2:$D$19, "")="", 0, _xlfn.XLOOKUP(B787, ①オッズ入力!$A$2:$A$19, ①オッズ入力!$D$2:$D$19, 0)), 0)</f>
        <v>1.2760723715370036E-2</v>
      </c>
      <c r="F787">
        <f>IFERROR(IF(_xlfn.XLOOKUP(C787, ①オッズ入力!$A$2:$A$19, ①オッズ入力!$D$2:$D$19, "")="", 0, _xlfn.XLOOKUP(C787, ①オッズ入力!$A$2:$A$19, ①オッズ入力!$D$2:$D$19, 0)), 0)</f>
        <v>8.5478532064679671E-3</v>
      </c>
      <c r="G787">
        <f t="shared" si="24"/>
        <v>615808.30754341139</v>
      </c>
      <c r="H787">
        <f>IF(G787="", 0, IF(OR(A787=③資金配分!$D$1, A787=③資金配分!$D$2, B787=③資金配分!$D$1, B787=③資金配分!$D$2, C787=③資金配分!$D$1, C787=③資金配分!$D$2), 0, IF(OR(A787=③資金配分!$D$4, A787=③資金配分!$D$5, A787=③資金配分!$D$6, B787=③資金配分!$D$4, B787=③資金配分!$D$5, B787=③資金配分!$D$6, C787=③資金配分!$D$4, C787=③資金配分!$D$5, C787=③資金配分!$D$6), 0, IF(AND(③資金配分!$B$8&gt;0, G787&lt;=③資金配分!$B$8), 1, 0))))</f>
        <v>0</v>
      </c>
      <c r="I787">
        <f t="shared" si="25"/>
        <v>0</v>
      </c>
      <c r="J787">
        <f>IF(I787&gt;0, ROUND((I787 / SUM($I$2:$I$817)) * ③資金配分!$B$7, -2), 0)</f>
        <v>0</v>
      </c>
    </row>
    <row r="788" spans="1:10" x14ac:dyDescent="0.4">
      <c r="A788">
        <v>12</v>
      </c>
      <c r="B788">
        <v>14</v>
      </c>
      <c r="C788">
        <v>15</v>
      </c>
      <c r="D788">
        <f>IFERROR(IF(_xlfn.XLOOKUP(A788, ①オッズ入力!$A$2:$A$19, ①オッズ入力!$D$2:$D$19, "")="", 0, _xlfn.XLOOKUP(A788, ①オッズ入力!$A$2:$A$19, ①オッズ入力!$D$2:$D$19, 0)), 0)</f>
        <v>1.4887511001265043E-2</v>
      </c>
      <c r="E788">
        <f>IFERROR(IF(_xlfn.XLOOKUP(B788, ①オッズ入力!$A$2:$A$19, ①オッズ入力!$D$2:$D$19, "")="", 0, _xlfn.XLOOKUP(B788, ①オッズ入力!$A$2:$A$19, ①オッズ入力!$D$2:$D$19, 0)), 0)</f>
        <v>1.1525814968721322E-2</v>
      </c>
      <c r="F788">
        <f>IFERROR(IF(_xlfn.XLOOKUP(C788, ①オッズ入力!$A$2:$A$19, ①オッズ入力!$D$2:$D$19, "")="", 0, _xlfn.XLOOKUP(C788, ①オッズ入力!$A$2:$A$19, ①オッズ入力!$D$2:$D$19, 0)), 0)</f>
        <v>1.0697612695519792E-2</v>
      </c>
      <c r="G788">
        <f t="shared" si="24"/>
        <v>544777.78676559136</v>
      </c>
      <c r="H788">
        <f>IF(G788="", 0, IF(OR(A788=③資金配分!$D$1, A788=③資金配分!$D$2, B788=③資金配分!$D$1, B788=③資金配分!$D$2, C788=③資金配分!$D$1, C788=③資金配分!$D$2), 0, IF(OR(A788=③資金配分!$D$4, A788=③資金配分!$D$5, A788=③資金配分!$D$6, B788=③資金配分!$D$4, B788=③資金配分!$D$5, B788=③資金配分!$D$6, C788=③資金配分!$D$4, C788=③資金配分!$D$5, C788=③資金配分!$D$6), 0, IF(AND(③資金配分!$B$8&gt;0, G788&lt;=③資金配分!$B$8), 1, 0))))</f>
        <v>0</v>
      </c>
      <c r="I788">
        <f t="shared" si="25"/>
        <v>0</v>
      </c>
      <c r="J788">
        <f>IF(I788&gt;0, ROUND((I788 / SUM($I$2:$I$817)) * ③資金配分!$B$7, -2), 0)</f>
        <v>0</v>
      </c>
    </row>
    <row r="789" spans="1:10" x14ac:dyDescent="0.4">
      <c r="A789">
        <v>12</v>
      </c>
      <c r="B789">
        <v>14</v>
      </c>
      <c r="C789">
        <v>16</v>
      </c>
      <c r="D789">
        <f>IFERROR(IF(_xlfn.XLOOKUP(A789, ①オッズ入力!$A$2:$A$19, ①オッズ入力!$D$2:$D$19, "")="", 0, _xlfn.XLOOKUP(A789, ①オッズ入力!$A$2:$A$19, ①オッズ入力!$D$2:$D$19, 0)), 0)</f>
        <v>1.4887511001265043E-2</v>
      </c>
      <c r="E789">
        <f>IFERROR(IF(_xlfn.XLOOKUP(B789, ①オッズ入力!$A$2:$A$19, ①オッズ入力!$D$2:$D$19, "")="", 0, _xlfn.XLOOKUP(B789, ①オッズ入力!$A$2:$A$19, ①オッズ入力!$D$2:$D$19, 0)), 0)</f>
        <v>1.1525814968721322E-2</v>
      </c>
      <c r="F789">
        <f>IFERROR(IF(_xlfn.XLOOKUP(C789, ①オッズ入力!$A$2:$A$19, ①オッズ入力!$D$2:$D$19, "")="", 0, _xlfn.XLOOKUP(C789, ①オッズ入力!$A$2:$A$19, ①オッズ入力!$D$2:$D$19, 0)), 0)</f>
        <v>9.8701730395127345E-3</v>
      </c>
      <c r="G789">
        <f t="shared" si="24"/>
        <v>590447.78086570092</v>
      </c>
      <c r="H789">
        <f>IF(G789="", 0, IF(OR(A789=③資金配分!$D$1, A789=③資金配分!$D$2, B789=③資金配分!$D$1, B789=③資金配分!$D$2, C789=③資金配分!$D$1, C789=③資金配分!$D$2), 0, IF(OR(A789=③資金配分!$D$4, A789=③資金配分!$D$5, A789=③資金配分!$D$6, B789=③資金配分!$D$4, B789=③資金配分!$D$5, B789=③資金配分!$D$6, C789=③資金配分!$D$4, C789=③資金配分!$D$5, C789=③資金配分!$D$6), 0, IF(AND(③資金配分!$B$8&gt;0, G789&lt;=③資金配分!$B$8), 1, 0))))</f>
        <v>0</v>
      </c>
      <c r="I789">
        <f t="shared" si="25"/>
        <v>0</v>
      </c>
      <c r="J789">
        <f>IF(I789&gt;0, ROUND((I789 / SUM($I$2:$I$817)) * ③資金配分!$B$7, -2), 0)</f>
        <v>0</v>
      </c>
    </row>
    <row r="790" spans="1:10" x14ac:dyDescent="0.4">
      <c r="A790">
        <v>12</v>
      </c>
      <c r="B790">
        <v>14</v>
      </c>
      <c r="C790">
        <v>17</v>
      </c>
      <c r="D790">
        <f>IFERROR(IF(_xlfn.XLOOKUP(A790, ①オッズ入力!$A$2:$A$19, ①オッズ入力!$D$2:$D$19, "")="", 0, _xlfn.XLOOKUP(A790, ①オッズ入力!$A$2:$A$19, ①オッズ入力!$D$2:$D$19, 0)), 0)</f>
        <v>1.4887511001265043E-2</v>
      </c>
      <c r="E790">
        <f>IFERROR(IF(_xlfn.XLOOKUP(B790, ①オッズ入力!$A$2:$A$19, ①オッズ入力!$D$2:$D$19, "")="", 0, _xlfn.XLOOKUP(B790, ①オッズ入力!$A$2:$A$19, ①オッズ入力!$D$2:$D$19, 0)), 0)</f>
        <v>1.1525814968721322E-2</v>
      </c>
      <c r="F790">
        <f>IFERROR(IF(_xlfn.XLOOKUP(C790, ①オッズ入力!$A$2:$A$19, ①オッズ入力!$D$2:$D$19, "")="", 0, _xlfn.XLOOKUP(C790, ①オッズ入力!$A$2:$A$19, ①オッズ入力!$D$2:$D$19, 0)), 0)</f>
        <v>9.1615452315477186E-3</v>
      </c>
      <c r="G790">
        <f t="shared" si="24"/>
        <v>636117.77496581036</v>
      </c>
      <c r="H790">
        <f>IF(G790="", 0, IF(OR(A790=③資金配分!$D$1, A790=③資金配分!$D$2, B790=③資金配分!$D$1, B790=③資金配分!$D$2, C790=③資金配分!$D$1, C790=③資金配分!$D$2), 0, IF(OR(A790=③資金配分!$D$4, A790=③資金配分!$D$5, A790=③資金配分!$D$6, B790=③資金配分!$D$4, B790=③資金配分!$D$5, B790=③資金配分!$D$6, C790=③資金配分!$D$4, C790=③資金配分!$D$5, C790=③資金配分!$D$6), 0, IF(AND(③資金配分!$B$8&gt;0, G790&lt;=③資金配分!$B$8), 1, 0))))</f>
        <v>0</v>
      </c>
      <c r="I790">
        <f t="shared" si="25"/>
        <v>0</v>
      </c>
      <c r="J790">
        <f>IF(I790&gt;0, ROUND((I790 / SUM($I$2:$I$817)) * ③資金配分!$B$7, -2), 0)</f>
        <v>0</v>
      </c>
    </row>
    <row r="791" spans="1:10" x14ac:dyDescent="0.4">
      <c r="A791">
        <v>12</v>
      </c>
      <c r="B791">
        <v>14</v>
      </c>
      <c r="C791">
        <v>18</v>
      </c>
      <c r="D791">
        <f>IFERROR(IF(_xlfn.XLOOKUP(A791, ①オッズ入力!$A$2:$A$19, ①オッズ入力!$D$2:$D$19, "")="", 0, _xlfn.XLOOKUP(A791, ①オッズ入力!$A$2:$A$19, ①オッズ入力!$D$2:$D$19, 0)), 0)</f>
        <v>1.4887511001265043E-2</v>
      </c>
      <c r="E791">
        <f>IFERROR(IF(_xlfn.XLOOKUP(B791, ①オッズ入力!$A$2:$A$19, ①オッズ入力!$D$2:$D$19, "")="", 0, _xlfn.XLOOKUP(B791, ①オッズ入力!$A$2:$A$19, ①オッズ入力!$D$2:$D$19, 0)), 0)</f>
        <v>1.1525814968721322E-2</v>
      </c>
      <c r="F791">
        <f>IFERROR(IF(_xlfn.XLOOKUP(C791, ①オッズ入力!$A$2:$A$19, ①オッズ入力!$D$2:$D$19, "")="", 0, _xlfn.XLOOKUP(C791, ①オッズ入力!$A$2:$A$19, ①オッズ入力!$D$2:$D$19, 0)), 0)</f>
        <v>8.5478532064679671E-3</v>
      </c>
      <c r="G791">
        <f t="shared" si="24"/>
        <v>681787.7690659198</v>
      </c>
      <c r="H791">
        <f>IF(G791="", 0, IF(OR(A791=③資金配分!$D$1, A791=③資金配分!$D$2, B791=③資金配分!$D$1, B791=③資金配分!$D$2, C791=③資金配分!$D$1, C791=③資金配分!$D$2), 0, IF(OR(A791=③資金配分!$D$4, A791=③資金配分!$D$5, A791=③資金配分!$D$6, B791=③資金配分!$D$4, B791=③資金配分!$D$5, B791=③資金配分!$D$6, C791=③資金配分!$D$4, C791=③資金配分!$D$5, C791=③資金配分!$D$6), 0, IF(AND(③資金配分!$B$8&gt;0, G791&lt;=③資金配分!$B$8), 1, 0))))</f>
        <v>0</v>
      </c>
      <c r="I791">
        <f t="shared" si="25"/>
        <v>0</v>
      </c>
      <c r="J791">
        <f>IF(I791&gt;0, ROUND((I791 / SUM($I$2:$I$817)) * ③資金配分!$B$7, -2), 0)</f>
        <v>0</v>
      </c>
    </row>
    <row r="792" spans="1:10" x14ac:dyDescent="0.4">
      <c r="A792">
        <v>12</v>
      </c>
      <c r="B792">
        <v>15</v>
      </c>
      <c r="C792">
        <v>16</v>
      </c>
      <c r="D792">
        <f>IFERROR(IF(_xlfn.XLOOKUP(A792, ①オッズ入力!$A$2:$A$19, ①オッズ入力!$D$2:$D$19, "")="", 0, _xlfn.XLOOKUP(A792, ①オッズ入力!$A$2:$A$19, ①オッズ入力!$D$2:$D$19, 0)), 0)</f>
        <v>1.4887511001265043E-2</v>
      </c>
      <c r="E792">
        <f>IFERROR(IF(_xlfn.XLOOKUP(B792, ①オッズ入力!$A$2:$A$19, ①オッズ入力!$D$2:$D$19, "")="", 0, _xlfn.XLOOKUP(B792, ①オッズ入力!$A$2:$A$19, ①オッズ入力!$D$2:$D$19, 0)), 0)</f>
        <v>1.0697612695519792E-2</v>
      </c>
      <c r="F792">
        <f>IFERROR(IF(_xlfn.XLOOKUP(C792, ①オッズ入力!$A$2:$A$19, ①オッズ入力!$D$2:$D$19, "")="", 0, _xlfn.XLOOKUP(C792, ①オッズ入力!$A$2:$A$19, ①オッズ入力!$D$2:$D$19, 0)), 0)</f>
        <v>9.8701730395127345E-3</v>
      </c>
      <c r="G792">
        <f t="shared" si="24"/>
        <v>636159.86712627125</v>
      </c>
      <c r="H792">
        <f>IF(G792="", 0, IF(OR(A792=③資金配分!$D$1, A792=③資金配分!$D$2, B792=③資金配分!$D$1, B792=③資金配分!$D$2, C792=③資金配分!$D$1, C792=③資金配分!$D$2), 0, IF(OR(A792=③資金配分!$D$4, A792=③資金配分!$D$5, A792=③資金配分!$D$6, B792=③資金配分!$D$4, B792=③資金配分!$D$5, B792=③資金配分!$D$6, C792=③資金配分!$D$4, C792=③資金配分!$D$5, C792=③資金配分!$D$6), 0, IF(AND(③資金配分!$B$8&gt;0, G792&lt;=③資金配分!$B$8), 1, 0))))</f>
        <v>0</v>
      </c>
      <c r="I792">
        <f t="shared" si="25"/>
        <v>0</v>
      </c>
      <c r="J792">
        <f>IF(I792&gt;0, ROUND((I792 / SUM($I$2:$I$817)) * ③資金配分!$B$7, -2), 0)</f>
        <v>0</v>
      </c>
    </row>
    <row r="793" spans="1:10" x14ac:dyDescent="0.4">
      <c r="A793">
        <v>12</v>
      </c>
      <c r="B793">
        <v>15</v>
      </c>
      <c r="C793">
        <v>17</v>
      </c>
      <c r="D793">
        <f>IFERROR(IF(_xlfn.XLOOKUP(A793, ①オッズ入力!$A$2:$A$19, ①オッズ入力!$D$2:$D$19, "")="", 0, _xlfn.XLOOKUP(A793, ①オッズ入力!$A$2:$A$19, ①オッズ入力!$D$2:$D$19, 0)), 0)</f>
        <v>1.4887511001265043E-2</v>
      </c>
      <c r="E793">
        <f>IFERROR(IF(_xlfn.XLOOKUP(B793, ①オッズ入力!$A$2:$A$19, ①オッズ入力!$D$2:$D$19, "")="", 0, _xlfn.XLOOKUP(B793, ①オッズ入力!$A$2:$A$19, ①オッズ入力!$D$2:$D$19, 0)), 0)</f>
        <v>1.0697612695519792E-2</v>
      </c>
      <c r="F793">
        <f>IFERROR(IF(_xlfn.XLOOKUP(C793, ①オッズ入力!$A$2:$A$19, ①オッズ入力!$D$2:$D$19, "")="", 0, _xlfn.XLOOKUP(C793, ①オッズ入力!$A$2:$A$19, ①オッズ入力!$D$2:$D$19, 0)), 0)</f>
        <v>9.1615452315477186E-3</v>
      </c>
      <c r="G793">
        <f t="shared" si="24"/>
        <v>685365.60270509881</v>
      </c>
      <c r="H793">
        <f>IF(G793="", 0, IF(OR(A793=③資金配分!$D$1, A793=③資金配分!$D$2, B793=③資金配分!$D$1, B793=③資金配分!$D$2, C793=③資金配分!$D$1, C793=③資金配分!$D$2), 0, IF(OR(A793=③資金配分!$D$4, A793=③資金配分!$D$5, A793=③資金配分!$D$6, B793=③資金配分!$D$4, B793=③資金配分!$D$5, B793=③資金配分!$D$6, C793=③資金配分!$D$4, C793=③資金配分!$D$5, C793=③資金配分!$D$6), 0, IF(AND(③資金配分!$B$8&gt;0, G793&lt;=③資金配分!$B$8), 1, 0))))</f>
        <v>0</v>
      </c>
      <c r="I793">
        <f t="shared" si="25"/>
        <v>0</v>
      </c>
      <c r="J793">
        <f>IF(I793&gt;0, ROUND((I793 / SUM($I$2:$I$817)) * ③資金配分!$B$7, -2), 0)</f>
        <v>0</v>
      </c>
    </row>
    <row r="794" spans="1:10" x14ac:dyDescent="0.4">
      <c r="A794">
        <v>12</v>
      </c>
      <c r="B794">
        <v>15</v>
      </c>
      <c r="C794">
        <v>18</v>
      </c>
      <c r="D794">
        <f>IFERROR(IF(_xlfn.XLOOKUP(A794, ①オッズ入力!$A$2:$A$19, ①オッズ入力!$D$2:$D$19, "")="", 0, _xlfn.XLOOKUP(A794, ①オッズ入力!$A$2:$A$19, ①オッズ入力!$D$2:$D$19, 0)), 0)</f>
        <v>1.4887511001265043E-2</v>
      </c>
      <c r="E794">
        <f>IFERROR(IF(_xlfn.XLOOKUP(B794, ①オッズ入力!$A$2:$A$19, ①オッズ入力!$D$2:$D$19, "")="", 0, _xlfn.XLOOKUP(B794, ①オッズ入力!$A$2:$A$19, ①オッズ入力!$D$2:$D$19, 0)), 0)</f>
        <v>1.0697612695519792E-2</v>
      </c>
      <c r="F794">
        <f>IFERROR(IF(_xlfn.XLOOKUP(C794, ①オッズ入力!$A$2:$A$19, ①オッズ入力!$D$2:$D$19, "")="", 0, _xlfn.XLOOKUP(C794, ①オッズ入力!$A$2:$A$19, ①オッズ入力!$D$2:$D$19, 0)), 0)</f>
        <v>8.5478532064679671E-3</v>
      </c>
      <c r="G794">
        <f t="shared" si="24"/>
        <v>734571.33828392636</v>
      </c>
      <c r="H794">
        <f>IF(G794="", 0, IF(OR(A794=③資金配分!$D$1, A794=③資金配分!$D$2, B794=③資金配分!$D$1, B794=③資金配分!$D$2, C794=③資金配分!$D$1, C794=③資金配分!$D$2), 0, IF(OR(A794=③資金配分!$D$4, A794=③資金配分!$D$5, A794=③資金配分!$D$6, B794=③資金配分!$D$4, B794=③資金配分!$D$5, B794=③資金配分!$D$6, C794=③資金配分!$D$4, C794=③資金配分!$D$5, C794=③資金配分!$D$6), 0, IF(AND(③資金配分!$B$8&gt;0, G794&lt;=③資金配分!$B$8), 1, 0))))</f>
        <v>0</v>
      </c>
      <c r="I794">
        <f t="shared" si="25"/>
        <v>0</v>
      </c>
      <c r="J794">
        <f>IF(I794&gt;0, ROUND((I794 / SUM($I$2:$I$817)) * ③資金配分!$B$7, -2), 0)</f>
        <v>0</v>
      </c>
    </row>
    <row r="795" spans="1:10" x14ac:dyDescent="0.4">
      <c r="A795">
        <v>12</v>
      </c>
      <c r="B795">
        <v>16</v>
      </c>
      <c r="C795">
        <v>17</v>
      </c>
      <c r="D795">
        <f>IFERROR(IF(_xlfn.XLOOKUP(A795, ①オッズ入力!$A$2:$A$19, ①オッズ入力!$D$2:$D$19, "")="", 0, _xlfn.XLOOKUP(A795, ①オッズ入力!$A$2:$A$19, ①オッズ入力!$D$2:$D$19, 0)), 0)</f>
        <v>1.4887511001265043E-2</v>
      </c>
      <c r="E795">
        <f>IFERROR(IF(_xlfn.XLOOKUP(B795, ①オッズ入力!$A$2:$A$19, ①オッズ入力!$D$2:$D$19, "")="", 0, _xlfn.XLOOKUP(B795, ①オッズ入力!$A$2:$A$19, ①オッズ入力!$D$2:$D$19, 0)), 0)</f>
        <v>9.8701730395127345E-3</v>
      </c>
      <c r="F795">
        <f>IFERROR(IF(_xlfn.XLOOKUP(C795, ①オッズ入力!$A$2:$A$19, ①オッズ入力!$D$2:$D$19, "")="", 0, _xlfn.XLOOKUP(C795, ①オッズ入力!$A$2:$A$19, ①オッズ入力!$D$2:$D$19, 0)), 0)</f>
        <v>9.1615452315477186E-3</v>
      </c>
      <c r="G795">
        <f t="shared" si="24"/>
        <v>742821.40173426876</v>
      </c>
      <c r="H795">
        <f>IF(G795="", 0, IF(OR(A795=③資金配分!$D$1, A795=③資金配分!$D$2, B795=③資金配分!$D$1, B795=③資金配分!$D$2, C795=③資金配分!$D$1, C795=③資金配分!$D$2), 0, IF(OR(A795=③資金配分!$D$4, A795=③資金配分!$D$5, A795=③資金配分!$D$6, B795=③資金配分!$D$4, B795=③資金配分!$D$5, B795=③資金配分!$D$6, C795=③資金配分!$D$4, C795=③資金配分!$D$5, C795=③資金配分!$D$6), 0, IF(AND(③資金配分!$B$8&gt;0, G795&lt;=③資金配分!$B$8), 1, 0))))</f>
        <v>0</v>
      </c>
      <c r="I795">
        <f t="shared" si="25"/>
        <v>0</v>
      </c>
      <c r="J795">
        <f>IF(I795&gt;0, ROUND((I795 / SUM($I$2:$I$817)) * ③資金配分!$B$7, -2), 0)</f>
        <v>0</v>
      </c>
    </row>
    <row r="796" spans="1:10" x14ac:dyDescent="0.4">
      <c r="A796">
        <v>12</v>
      </c>
      <c r="B796">
        <v>16</v>
      </c>
      <c r="C796">
        <v>18</v>
      </c>
      <c r="D796">
        <f>IFERROR(IF(_xlfn.XLOOKUP(A796, ①オッズ入力!$A$2:$A$19, ①オッズ入力!$D$2:$D$19, "")="", 0, _xlfn.XLOOKUP(A796, ①オッズ入力!$A$2:$A$19, ①オッズ入力!$D$2:$D$19, 0)), 0)</f>
        <v>1.4887511001265043E-2</v>
      </c>
      <c r="E796">
        <f>IFERROR(IF(_xlfn.XLOOKUP(B796, ①オッズ入力!$A$2:$A$19, ①オッズ入力!$D$2:$D$19, "")="", 0, _xlfn.XLOOKUP(B796, ①オッズ入力!$A$2:$A$19, ①オッズ入力!$D$2:$D$19, 0)), 0)</f>
        <v>9.8701730395127345E-3</v>
      </c>
      <c r="F796">
        <f>IFERROR(IF(_xlfn.XLOOKUP(C796, ①オッズ入力!$A$2:$A$19, ①オッズ入力!$D$2:$D$19, "")="", 0, _xlfn.XLOOKUP(C796, ①オッズ入力!$A$2:$A$19, ①オッズ入力!$D$2:$D$19, 0)), 0)</f>
        <v>8.5478532064679671E-3</v>
      </c>
      <c r="G796">
        <f t="shared" si="24"/>
        <v>796152.16903826769</v>
      </c>
      <c r="H796">
        <f>IF(G796="", 0, IF(OR(A796=③資金配分!$D$1, A796=③資金配分!$D$2, B796=③資金配分!$D$1, B796=③資金配分!$D$2, C796=③資金配分!$D$1, C796=③資金配分!$D$2), 0, IF(OR(A796=③資金配分!$D$4, A796=③資金配分!$D$5, A796=③資金配分!$D$6, B796=③資金配分!$D$4, B796=③資金配分!$D$5, B796=③資金配分!$D$6, C796=③資金配分!$D$4, C796=③資金配分!$D$5, C796=③資金配分!$D$6), 0, IF(AND(③資金配分!$B$8&gt;0, G796&lt;=③資金配分!$B$8), 1, 0))))</f>
        <v>0</v>
      </c>
      <c r="I796">
        <f t="shared" si="25"/>
        <v>0</v>
      </c>
      <c r="J796">
        <f>IF(I796&gt;0, ROUND((I796 / SUM($I$2:$I$817)) * ③資金配分!$B$7, -2), 0)</f>
        <v>0</v>
      </c>
    </row>
    <row r="797" spans="1:10" x14ac:dyDescent="0.4">
      <c r="A797">
        <v>12</v>
      </c>
      <c r="B797">
        <v>17</v>
      </c>
      <c r="C797">
        <v>18</v>
      </c>
      <c r="D797">
        <f>IFERROR(IF(_xlfn.XLOOKUP(A797, ①オッズ入力!$A$2:$A$19, ①オッズ入力!$D$2:$D$19, "")="", 0, _xlfn.XLOOKUP(A797, ①オッズ入力!$A$2:$A$19, ①オッズ入力!$D$2:$D$19, 0)), 0)</f>
        <v>1.4887511001265043E-2</v>
      </c>
      <c r="E797">
        <f>IFERROR(IF(_xlfn.XLOOKUP(B797, ①オッズ入力!$A$2:$A$19, ①オッズ入力!$D$2:$D$19, "")="", 0, _xlfn.XLOOKUP(B797, ①オッズ入力!$A$2:$A$19, ①オッズ入力!$D$2:$D$19, 0)), 0)</f>
        <v>9.1615452315477186E-3</v>
      </c>
      <c r="F797">
        <f>IFERROR(IF(_xlfn.XLOOKUP(C797, ①オッズ入力!$A$2:$A$19, ①オッズ入力!$D$2:$D$19, "")="", 0, _xlfn.XLOOKUP(C797, ①オッズ入力!$A$2:$A$19, ①オッズ入力!$D$2:$D$19, 0)), 0)</f>
        <v>8.5478532064679671E-3</v>
      </c>
      <c r="G797">
        <f t="shared" si="24"/>
        <v>857732.99979260878</v>
      </c>
      <c r="H797">
        <f>IF(G797="", 0, IF(OR(A797=③資金配分!$D$1, A797=③資金配分!$D$2, B797=③資金配分!$D$1, B797=③資金配分!$D$2, C797=③資金配分!$D$1, C797=③資金配分!$D$2), 0, IF(OR(A797=③資金配分!$D$4, A797=③資金配分!$D$5, A797=③資金配分!$D$6, B797=③資金配分!$D$4, B797=③資金配分!$D$5, B797=③資金配分!$D$6, C797=③資金配分!$D$4, C797=③資金配分!$D$5, C797=③資金配分!$D$6), 0, IF(AND(③資金配分!$B$8&gt;0, G797&lt;=③資金配分!$B$8), 1, 0))))</f>
        <v>0</v>
      </c>
      <c r="I797">
        <f t="shared" si="25"/>
        <v>0</v>
      </c>
      <c r="J797">
        <f>IF(I797&gt;0, ROUND((I797 / SUM($I$2:$I$817)) * ③資金配分!$B$7, -2), 0)</f>
        <v>0</v>
      </c>
    </row>
    <row r="798" spans="1:10" x14ac:dyDescent="0.4">
      <c r="A798">
        <v>13</v>
      </c>
      <c r="B798">
        <v>14</v>
      </c>
      <c r="C798">
        <v>15</v>
      </c>
      <c r="D798">
        <f>IFERROR(IF(_xlfn.XLOOKUP(A798, ①オッズ入力!$A$2:$A$19, ①オッズ入力!$D$2:$D$19, "")="", 0, _xlfn.XLOOKUP(A798, ①オッズ入力!$A$2:$A$19, ①オッズ入力!$D$2:$D$19, 0)), 0)</f>
        <v>1.2760723715370036E-2</v>
      </c>
      <c r="E798">
        <f>IFERROR(IF(_xlfn.XLOOKUP(B798, ①オッズ入力!$A$2:$A$19, ①オッズ入力!$D$2:$D$19, "")="", 0, _xlfn.XLOOKUP(B798, ①オッズ入力!$A$2:$A$19, ①オッズ入力!$D$2:$D$19, 0)), 0)</f>
        <v>1.1525814968721322E-2</v>
      </c>
      <c r="F798">
        <f>IFERROR(IF(_xlfn.XLOOKUP(C798, ①オッズ入力!$A$2:$A$19, ①オッズ入力!$D$2:$D$19, "")="", 0, _xlfn.XLOOKUP(C798, ①オッズ入力!$A$2:$A$19, ①オッズ入力!$D$2:$D$19, 0)), 0)</f>
        <v>1.0697612695519792E-2</v>
      </c>
      <c r="G798">
        <f t="shared" si="24"/>
        <v>635574.08455985668</v>
      </c>
      <c r="H798">
        <f>IF(G798="", 0, IF(OR(A798=③資金配分!$D$1, A798=③資金配分!$D$2, B798=③資金配分!$D$1, B798=③資金配分!$D$2, C798=③資金配分!$D$1, C798=③資金配分!$D$2), 0, IF(OR(A798=③資金配分!$D$4, A798=③資金配分!$D$5, A798=③資金配分!$D$6, B798=③資金配分!$D$4, B798=③資金配分!$D$5, B798=③資金配分!$D$6, C798=③資金配分!$D$4, C798=③資金配分!$D$5, C798=③資金配分!$D$6), 0, IF(AND(③資金配分!$B$8&gt;0, G798&lt;=③資金配分!$B$8), 1, 0))))</f>
        <v>0</v>
      </c>
      <c r="I798">
        <f t="shared" si="25"/>
        <v>0</v>
      </c>
      <c r="J798">
        <f>IF(I798&gt;0, ROUND((I798 / SUM($I$2:$I$817)) * ③資金配分!$B$7, -2), 0)</f>
        <v>0</v>
      </c>
    </row>
    <row r="799" spans="1:10" x14ac:dyDescent="0.4">
      <c r="A799">
        <v>13</v>
      </c>
      <c r="B799">
        <v>14</v>
      </c>
      <c r="C799">
        <v>16</v>
      </c>
      <c r="D799">
        <f>IFERROR(IF(_xlfn.XLOOKUP(A799, ①オッズ入力!$A$2:$A$19, ①オッズ入力!$D$2:$D$19, "")="", 0, _xlfn.XLOOKUP(A799, ①オッズ入力!$A$2:$A$19, ①オッズ入力!$D$2:$D$19, 0)), 0)</f>
        <v>1.2760723715370036E-2</v>
      </c>
      <c r="E799">
        <f>IFERROR(IF(_xlfn.XLOOKUP(B799, ①オッズ入力!$A$2:$A$19, ①オッズ入力!$D$2:$D$19, "")="", 0, _xlfn.XLOOKUP(B799, ①オッズ入力!$A$2:$A$19, ①オッズ入力!$D$2:$D$19, 0)), 0)</f>
        <v>1.1525814968721322E-2</v>
      </c>
      <c r="F799">
        <f>IFERROR(IF(_xlfn.XLOOKUP(C799, ①オッズ入力!$A$2:$A$19, ①オッズ入力!$D$2:$D$19, "")="", 0, _xlfn.XLOOKUP(C799, ①オッズ入力!$A$2:$A$19, ①オッズ入力!$D$2:$D$19, 0)), 0)</f>
        <v>9.8701730395127345E-3</v>
      </c>
      <c r="G799">
        <f t="shared" si="24"/>
        <v>688855.74434331781</v>
      </c>
      <c r="H799">
        <f>IF(G799="", 0, IF(OR(A799=③資金配分!$D$1, A799=③資金配分!$D$2, B799=③資金配分!$D$1, B799=③資金配分!$D$2, C799=③資金配分!$D$1, C799=③資金配分!$D$2), 0, IF(OR(A799=③資金配分!$D$4, A799=③資金配分!$D$5, A799=③資金配分!$D$6, B799=③資金配分!$D$4, B799=③資金配分!$D$5, B799=③資金配分!$D$6, C799=③資金配分!$D$4, C799=③資金配分!$D$5, C799=③資金配分!$D$6), 0, IF(AND(③資金配分!$B$8&gt;0, G799&lt;=③資金配分!$B$8), 1, 0))))</f>
        <v>0</v>
      </c>
      <c r="I799">
        <f t="shared" si="25"/>
        <v>0</v>
      </c>
      <c r="J799">
        <f>IF(I799&gt;0, ROUND((I799 / SUM($I$2:$I$817)) * ③資金配分!$B$7, -2), 0)</f>
        <v>0</v>
      </c>
    </row>
    <row r="800" spans="1:10" x14ac:dyDescent="0.4">
      <c r="A800">
        <v>13</v>
      </c>
      <c r="B800">
        <v>14</v>
      </c>
      <c r="C800">
        <v>17</v>
      </c>
      <c r="D800">
        <f>IFERROR(IF(_xlfn.XLOOKUP(A800, ①オッズ入力!$A$2:$A$19, ①オッズ入力!$D$2:$D$19, "")="", 0, _xlfn.XLOOKUP(A800, ①オッズ入力!$A$2:$A$19, ①オッズ入力!$D$2:$D$19, 0)), 0)</f>
        <v>1.2760723715370036E-2</v>
      </c>
      <c r="E800">
        <f>IFERROR(IF(_xlfn.XLOOKUP(B800, ①オッズ入力!$A$2:$A$19, ①オッズ入力!$D$2:$D$19, "")="", 0, _xlfn.XLOOKUP(B800, ①オッズ入力!$A$2:$A$19, ①オッズ入力!$D$2:$D$19, 0)), 0)</f>
        <v>1.1525814968721322E-2</v>
      </c>
      <c r="F800">
        <f>IFERROR(IF(_xlfn.XLOOKUP(C800, ①オッズ入力!$A$2:$A$19, ①オッズ入力!$D$2:$D$19, "")="", 0, _xlfn.XLOOKUP(C800, ①オッズ入力!$A$2:$A$19, ①オッズ入力!$D$2:$D$19, 0)), 0)</f>
        <v>9.1615452315477186E-3</v>
      </c>
      <c r="G800">
        <f t="shared" si="24"/>
        <v>742137.40412677883</v>
      </c>
      <c r="H800">
        <f>IF(G800="", 0, IF(OR(A800=③資金配分!$D$1, A800=③資金配分!$D$2, B800=③資金配分!$D$1, B800=③資金配分!$D$2, C800=③資金配分!$D$1, C800=③資金配分!$D$2), 0, IF(OR(A800=③資金配分!$D$4, A800=③資金配分!$D$5, A800=③資金配分!$D$6, B800=③資金配分!$D$4, B800=③資金配分!$D$5, B800=③資金配分!$D$6, C800=③資金配分!$D$4, C800=③資金配分!$D$5, C800=③資金配分!$D$6), 0, IF(AND(③資金配分!$B$8&gt;0, G800&lt;=③資金配分!$B$8), 1, 0))))</f>
        <v>0</v>
      </c>
      <c r="I800">
        <f t="shared" si="25"/>
        <v>0</v>
      </c>
      <c r="J800">
        <f>IF(I800&gt;0, ROUND((I800 / SUM($I$2:$I$817)) * ③資金配分!$B$7, -2), 0)</f>
        <v>0</v>
      </c>
    </row>
    <row r="801" spans="1:10" x14ac:dyDescent="0.4">
      <c r="A801">
        <v>13</v>
      </c>
      <c r="B801">
        <v>14</v>
      </c>
      <c r="C801">
        <v>18</v>
      </c>
      <c r="D801">
        <f>IFERROR(IF(_xlfn.XLOOKUP(A801, ①オッズ入力!$A$2:$A$19, ①オッズ入力!$D$2:$D$19, "")="", 0, _xlfn.XLOOKUP(A801, ①オッズ入力!$A$2:$A$19, ①オッズ入力!$D$2:$D$19, 0)), 0)</f>
        <v>1.2760723715370036E-2</v>
      </c>
      <c r="E801">
        <f>IFERROR(IF(_xlfn.XLOOKUP(B801, ①オッズ入力!$A$2:$A$19, ①オッズ入力!$D$2:$D$19, "")="", 0, _xlfn.XLOOKUP(B801, ①オッズ入力!$A$2:$A$19, ①オッズ入力!$D$2:$D$19, 0)), 0)</f>
        <v>1.1525814968721322E-2</v>
      </c>
      <c r="F801">
        <f>IFERROR(IF(_xlfn.XLOOKUP(C801, ①オッズ入力!$A$2:$A$19, ①オッズ入力!$D$2:$D$19, "")="", 0, _xlfn.XLOOKUP(C801, ①オッズ入力!$A$2:$A$19, ①オッズ入力!$D$2:$D$19, 0)), 0)</f>
        <v>8.5478532064679671E-3</v>
      </c>
      <c r="G801">
        <f t="shared" si="24"/>
        <v>795419.06391023984</v>
      </c>
      <c r="H801">
        <f>IF(G801="", 0, IF(OR(A801=③資金配分!$D$1, A801=③資金配分!$D$2, B801=③資金配分!$D$1, B801=③資金配分!$D$2, C801=③資金配分!$D$1, C801=③資金配分!$D$2), 0, IF(OR(A801=③資金配分!$D$4, A801=③資金配分!$D$5, A801=③資金配分!$D$6, B801=③資金配分!$D$4, B801=③資金配分!$D$5, B801=③資金配分!$D$6, C801=③資金配分!$D$4, C801=③資金配分!$D$5, C801=③資金配分!$D$6), 0, IF(AND(③資金配分!$B$8&gt;0, G801&lt;=③資金配分!$B$8), 1, 0))))</f>
        <v>0</v>
      </c>
      <c r="I801">
        <f t="shared" si="25"/>
        <v>0</v>
      </c>
      <c r="J801">
        <f>IF(I801&gt;0, ROUND((I801 / SUM($I$2:$I$817)) * ③資金配分!$B$7, -2), 0)</f>
        <v>0</v>
      </c>
    </row>
    <row r="802" spans="1:10" x14ac:dyDescent="0.4">
      <c r="A802">
        <v>13</v>
      </c>
      <c r="B802">
        <v>15</v>
      </c>
      <c r="C802">
        <v>16</v>
      </c>
      <c r="D802">
        <f>IFERROR(IF(_xlfn.XLOOKUP(A802, ①オッズ入力!$A$2:$A$19, ①オッズ入力!$D$2:$D$19, "")="", 0, _xlfn.XLOOKUP(A802, ①オッズ入力!$A$2:$A$19, ①オッズ入力!$D$2:$D$19, 0)), 0)</f>
        <v>1.2760723715370036E-2</v>
      </c>
      <c r="E802">
        <f>IFERROR(IF(_xlfn.XLOOKUP(B802, ①オッズ入力!$A$2:$A$19, ①オッズ入力!$D$2:$D$19, "")="", 0, _xlfn.XLOOKUP(B802, ①オッズ入力!$A$2:$A$19, ①オッズ入力!$D$2:$D$19, 0)), 0)</f>
        <v>1.0697612695519792E-2</v>
      </c>
      <c r="F802">
        <f>IFERROR(IF(_xlfn.XLOOKUP(C802, ①オッズ入力!$A$2:$A$19, ①オッズ入力!$D$2:$D$19, "")="", 0, _xlfn.XLOOKUP(C802, ①オッズ入力!$A$2:$A$19, ①オッズ入力!$D$2:$D$19, 0)), 0)</f>
        <v>9.8701730395127345E-3</v>
      </c>
      <c r="G802">
        <f t="shared" si="24"/>
        <v>742186.51164731651</v>
      </c>
      <c r="H802">
        <f>IF(G802="", 0, IF(OR(A802=③資金配分!$D$1, A802=③資金配分!$D$2, B802=③資金配分!$D$1, B802=③資金配分!$D$2, C802=③資金配分!$D$1, C802=③資金配分!$D$2), 0, IF(OR(A802=③資金配分!$D$4, A802=③資金配分!$D$5, A802=③資金配分!$D$6, B802=③資金配分!$D$4, B802=③資金配分!$D$5, B802=③資金配分!$D$6, C802=③資金配分!$D$4, C802=③資金配分!$D$5, C802=③資金配分!$D$6), 0, IF(AND(③資金配分!$B$8&gt;0, G802&lt;=③資金配分!$B$8), 1, 0))))</f>
        <v>0</v>
      </c>
      <c r="I802">
        <f t="shared" si="25"/>
        <v>0</v>
      </c>
      <c r="J802">
        <f>IF(I802&gt;0, ROUND((I802 / SUM($I$2:$I$817)) * ③資金配分!$B$7, -2), 0)</f>
        <v>0</v>
      </c>
    </row>
    <row r="803" spans="1:10" x14ac:dyDescent="0.4">
      <c r="A803">
        <v>13</v>
      </c>
      <c r="B803">
        <v>15</v>
      </c>
      <c r="C803">
        <v>17</v>
      </c>
      <c r="D803">
        <f>IFERROR(IF(_xlfn.XLOOKUP(A803, ①オッズ入力!$A$2:$A$19, ①オッズ入力!$D$2:$D$19, "")="", 0, _xlfn.XLOOKUP(A803, ①オッズ入力!$A$2:$A$19, ①オッズ入力!$D$2:$D$19, 0)), 0)</f>
        <v>1.2760723715370036E-2</v>
      </c>
      <c r="E803">
        <f>IFERROR(IF(_xlfn.XLOOKUP(B803, ①オッズ入力!$A$2:$A$19, ①オッズ入力!$D$2:$D$19, "")="", 0, _xlfn.XLOOKUP(B803, ①オッズ入力!$A$2:$A$19, ①オッズ入力!$D$2:$D$19, 0)), 0)</f>
        <v>1.0697612695519792E-2</v>
      </c>
      <c r="F803">
        <f>IFERROR(IF(_xlfn.XLOOKUP(C803, ①オッズ入力!$A$2:$A$19, ①オッズ入力!$D$2:$D$19, "")="", 0, _xlfn.XLOOKUP(C803, ①オッズ入力!$A$2:$A$19, ①オッズ入力!$D$2:$D$19, 0)), 0)</f>
        <v>9.1615452315477186E-3</v>
      </c>
      <c r="G803">
        <f t="shared" si="24"/>
        <v>799593.20315594866</v>
      </c>
      <c r="H803">
        <f>IF(G803="", 0, IF(OR(A803=③資金配分!$D$1, A803=③資金配分!$D$2, B803=③資金配分!$D$1, B803=③資金配分!$D$2, C803=③資金配分!$D$1, C803=③資金配分!$D$2), 0, IF(OR(A803=③資金配分!$D$4, A803=③資金配分!$D$5, A803=③資金配分!$D$6, B803=③資金配分!$D$4, B803=③資金配分!$D$5, B803=③資金配分!$D$6, C803=③資金配分!$D$4, C803=③資金配分!$D$5, C803=③資金配分!$D$6), 0, IF(AND(③資金配分!$B$8&gt;0, G803&lt;=③資金配分!$B$8), 1, 0))))</f>
        <v>0</v>
      </c>
      <c r="I803">
        <f t="shared" si="25"/>
        <v>0</v>
      </c>
      <c r="J803">
        <f>IF(I803&gt;0, ROUND((I803 / SUM($I$2:$I$817)) * ③資金配分!$B$7, -2), 0)</f>
        <v>0</v>
      </c>
    </row>
    <row r="804" spans="1:10" x14ac:dyDescent="0.4">
      <c r="A804">
        <v>13</v>
      </c>
      <c r="B804">
        <v>15</v>
      </c>
      <c r="C804">
        <v>18</v>
      </c>
      <c r="D804">
        <f>IFERROR(IF(_xlfn.XLOOKUP(A804, ①オッズ入力!$A$2:$A$19, ①オッズ入力!$D$2:$D$19, "")="", 0, _xlfn.XLOOKUP(A804, ①オッズ入力!$A$2:$A$19, ①オッズ入力!$D$2:$D$19, 0)), 0)</f>
        <v>1.2760723715370036E-2</v>
      </c>
      <c r="E804">
        <f>IFERROR(IF(_xlfn.XLOOKUP(B804, ①オッズ入力!$A$2:$A$19, ①オッズ入力!$D$2:$D$19, "")="", 0, _xlfn.XLOOKUP(B804, ①オッズ入力!$A$2:$A$19, ①オッズ入力!$D$2:$D$19, 0)), 0)</f>
        <v>1.0697612695519792E-2</v>
      </c>
      <c r="F804">
        <f>IFERROR(IF(_xlfn.XLOOKUP(C804, ①オッズ入力!$A$2:$A$19, ①オッズ入力!$D$2:$D$19, "")="", 0, _xlfn.XLOOKUP(C804, ①オッズ入力!$A$2:$A$19, ①オッズ入力!$D$2:$D$19, 0)), 0)</f>
        <v>8.5478532064679671E-3</v>
      </c>
      <c r="G804">
        <f t="shared" si="24"/>
        <v>856999.89466458082</v>
      </c>
      <c r="H804">
        <f>IF(G804="", 0, IF(OR(A804=③資金配分!$D$1, A804=③資金配分!$D$2, B804=③資金配分!$D$1, B804=③資金配分!$D$2, C804=③資金配分!$D$1, C804=③資金配分!$D$2), 0, IF(OR(A804=③資金配分!$D$4, A804=③資金配分!$D$5, A804=③資金配分!$D$6, B804=③資金配分!$D$4, B804=③資金配分!$D$5, B804=③資金配分!$D$6, C804=③資金配分!$D$4, C804=③資金配分!$D$5, C804=③資金配分!$D$6), 0, IF(AND(③資金配分!$B$8&gt;0, G804&lt;=③資金配分!$B$8), 1, 0))))</f>
        <v>0</v>
      </c>
      <c r="I804">
        <f t="shared" si="25"/>
        <v>0</v>
      </c>
      <c r="J804">
        <f>IF(I804&gt;0, ROUND((I804 / SUM($I$2:$I$817)) * ③資金配分!$B$7, -2), 0)</f>
        <v>0</v>
      </c>
    </row>
    <row r="805" spans="1:10" x14ac:dyDescent="0.4">
      <c r="A805">
        <v>13</v>
      </c>
      <c r="B805">
        <v>16</v>
      </c>
      <c r="C805">
        <v>17</v>
      </c>
      <c r="D805">
        <f>IFERROR(IF(_xlfn.XLOOKUP(A805, ①オッズ入力!$A$2:$A$19, ①オッズ入力!$D$2:$D$19, "")="", 0, _xlfn.XLOOKUP(A805, ①オッズ入力!$A$2:$A$19, ①オッズ入力!$D$2:$D$19, 0)), 0)</f>
        <v>1.2760723715370036E-2</v>
      </c>
      <c r="E805">
        <f>IFERROR(IF(_xlfn.XLOOKUP(B805, ①オッズ入力!$A$2:$A$19, ①オッズ入力!$D$2:$D$19, "")="", 0, _xlfn.XLOOKUP(B805, ①オッズ入力!$A$2:$A$19, ①オッズ入力!$D$2:$D$19, 0)), 0)</f>
        <v>9.8701730395127345E-3</v>
      </c>
      <c r="F805">
        <f>IFERROR(IF(_xlfn.XLOOKUP(C805, ①オッズ入力!$A$2:$A$19, ①オッズ入力!$D$2:$D$19, "")="", 0, _xlfn.XLOOKUP(C805, ①オッズ入力!$A$2:$A$19, ①オッズ入力!$D$2:$D$19, 0)), 0)</f>
        <v>9.1615452315477186E-3</v>
      </c>
      <c r="G805">
        <f t="shared" si="24"/>
        <v>866624.96868998057</v>
      </c>
      <c r="H805">
        <f>IF(G805="", 0, IF(OR(A805=③資金配分!$D$1, A805=③資金配分!$D$2, B805=③資金配分!$D$1, B805=③資金配分!$D$2, C805=③資金配分!$D$1, C805=③資金配分!$D$2), 0, IF(OR(A805=③資金配分!$D$4, A805=③資金配分!$D$5, A805=③資金配分!$D$6, B805=③資金配分!$D$4, B805=③資金配分!$D$5, B805=③資金配分!$D$6, C805=③資金配分!$D$4, C805=③資金配分!$D$5, C805=③資金配分!$D$6), 0, IF(AND(③資金配分!$B$8&gt;0, G805&lt;=③資金配分!$B$8), 1, 0))))</f>
        <v>0</v>
      </c>
      <c r="I805">
        <f t="shared" si="25"/>
        <v>0</v>
      </c>
      <c r="J805">
        <f>IF(I805&gt;0, ROUND((I805 / SUM($I$2:$I$817)) * ③資金配分!$B$7, -2), 0)</f>
        <v>0</v>
      </c>
    </row>
    <row r="806" spans="1:10" x14ac:dyDescent="0.4">
      <c r="A806">
        <v>13</v>
      </c>
      <c r="B806">
        <v>16</v>
      </c>
      <c r="C806">
        <v>18</v>
      </c>
      <c r="D806">
        <f>IFERROR(IF(_xlfn.XLOOKUP(A806, ①オッズ入力!$A$2:$A$19, ①オッズ入力!$D$2:$D$19, "")="", 0, _xlfn.XLOOKUP(A806, ①オッズ入力!$A$2:$A$19, ①オッズ入力!$D$2:$D$19, 0)), 0)</f>
        <v>1.2760723715370036E-2</v>
      </c>
      <c r="E806">
        <f>IFERROR(IF(_xlfn.XLOOKUP(B806, ①オッズ入力!$A$2:$A$19, ①オッズ入力!$D$2:$D$19, "")="", 0, _xlfn.XLOOKUP(B806, ①オッズ入力!$A$2:$A$19, ①オッズ入力!$D$2:$D$19, 0)), 0)</f>
        <v>9.8701730395127345E-3</v>
      </c>
      <c r="F806">
        <f>IFERROR(IF(_xlfn.XLOOKUP(C806, ①オッズ入力!$A$2:$A$19, ①オッズ入力!$D$2:$D$19, "")="", 0, _xlfn.XLOOKUP(C806, ①オッズ入力!$A$2:$A$19, ①オッズ入力!$D$2:$D$19, 0)), 0)</f>
        <v>8.5478532064679671E-3</v>
      </c>
      <c r="G806">
        <f t="shared" si="24"/>
        <v>928844.19721131236</v>
      </c>
      <c r="H806">
        <f>IF(G806="", 0, IF(OR(A806=③資金配分!$D$1, A806=③資金配分!$D$2, B806=③資金配分!$D$1, B806=③資金配分!$D$2, C806=③資金配分!$D$1, C806=③資金配分!$D$2), 0, IF(OR(A806=③資金配分!$D$4, A806=③資金配分!$D$5, A806=③資金配分!$D$6, B806=③資金配分!$D$4, B806=③資金配分!$D$5, B806=③資金配分!$D$6, C806=③資金配分!$D$4, C806=③資金配分!$D$5, C806=③資金配分!$D$6), 0, IF(AND(③資金配分!$B$8&gt;0, G806&lt;=③資金配分!$B$8), 1, 0))))</f>
        <v>0</v>
      </c>
      <c r="I806">
        <f t="shared" si="25"/>
        <v>0</v>
      </c>
      <c r="J806">
        <f>IF(I806&gt;0, ROUND((I806 / SUM($I$2:$I$817)) * ③資金配分!$B$7, -2), 0)</f>
        <v>0</v>
      </c>
    </row>
    <row r="807" spans="1:10" x14ac:dyDescent="0.4">
      <c r="A807">
        <v>13</v>
      </c>
      <c r="B807">
        <v>17</v>
      </c>
      <c r="C807">
        <v>18</v>
      </c>
      <c r="D807">
        <f>IFERROR(IF(_xlfn.XLOOKUP(A807, ①オッズ入力!$A$2:$A$19, ①オッズ入力!$D$2:$D$19, "")="", 0, _xlfn.XLOOKUP(A807, ①オッズ入力!$A$2:$A$19, ①オッズ入力!$D$2:$D$19, 0)), 0)</f>
        <v>1.2760723715370036E-2</v>
      </c>
      <c r="E807">
        <f>IFERROR(IF(_xlfn.XLOOKUP(B807, ①オッズ入力!$A$2:$A$19, ①オッズ入力!$D$2:$D$19, "")="", 0, _xlfn.XLOOKUP(B807, ①オッズ入力!$A$2:$A$19, ①オッズ入力!$D$2:$D$19, 0)), 0)</f>
        <v>9.1615452315477186E-3</v>
      </c>
      <c r="F807">
        <f>IFERROR(IF(_xlfn.XLOOKUP(C807, ①オッズ入力!$A$2:$A$19, ①オッズ入力!$D$2:$D$19, "")="", 0, _xlfn.XLOOKUP(C807, ①オッズ入力!$A$2:$A$19, ①オッズ入力!$D$2:$D$19, 0)), 0)</f>
        <v>8.5478532064679671E-3</v>
      </c>
      <c r="G807">
        <f t="shared" si="24"/>
        <v>1000688.4997580436</v>
      </c>
      <c r="H807">
        <f>IF(G807="", 0, IF(OR(A807=③資金配分!$D$1, A807=③資金配分!$D$2, B807=③資金配分!$D$1, B807=③資金配分!$D$2, C807=③資金配分!$D$1, C807=③資金配分!$D$2), 0, IF(OR(A807=③資金配分!$D$4, A807=③資金配分!$D$5, A807=③資金配分!$D$6, B807=③資金配分!$D$4, B807=③資金配分!$D$5, B807=③資金配分!$D$6, C807=③資金配分!$D$4, C807=③資金配分!$D$5, C807=③資金配分!$D$6), 0, IF(AND(③資金配分!$B$8&gt;0, G807&lt;=③資金配分!$B$8), 1, 0))))</f>
        <v>0</v>
      </c>
      <c r="I807">
        <f t="shared" si="25"/>
        <v>0</v>
      </c>
      <c r="J807">
        <f>IF(I807&gt;0, ROUND((I807 / SUM($I$2:$I$817)) * ③資金配分!$B$7, -2), 0)</f>
        <v>0</v>
      </c>
    </row>
    <row r="808" spans="1:10" x14ac:dyDescent="0.4">
      <c r="A808">
        <v>14</v>
      </c>
      <c r="B808">
        <v>15</v>
      </c>
      <c r="C808">
        <v>16</v>
      </c>
      <c r="D808">
        <f>IFERROR(IF(_xlfn.XLOOKUP(A808, ①オッズ入力!$A$2:$A$19, ①オッズ入力!$D$2:$D$19, "")="", 0, _xlfn.XLOOKUP(A808, ①オッズ入力!$A$2:$A$19, ①オッズ入力!$D$2:$D$19, 0)), 0)</f>
        <v>1.1525814968721322E-2</v>
      </c>
      <c r="E808">
        <f>IFERROR(IF(_xlfn.XLOOKUP(B808, ①オッズ入力!$A$2:$A$19, ①オッズ入力!$D$2:$D$19, "")="", 0, _xlfn.XLOOKUP(B808, ①オッズ入力!$A$2:$A$19, ①オッズ入力!$D$2:$D$19, 0)), 0)</f>
        <v>1.0697612695519792E-2</v>
      </c>
      <c r="F808">
        <f>IFERROR(IF(_xlfn.XLOOKUP(C808, ①オッズ入力!$A$2:$A$19, ①オッズ入力!$D$2:$D$19, "")="", 0, _xlfn.XLOOKUP(C808, ①オッズ入力!$A$2:$A$19, ①オッズ入力!$D$2:$D$19, 0)), 0)</f>
        <v>9.8701730395127345E-3</v>
      </c>
      <c r="G808">
        <f t="shared" si="24"/>
        <v>821706.4950381004</v>
      </c>
      <c r="H808">
        <f>IF(G808="", 0, IF(OR(A808=③資金配分!$D$1, A808=③資金配分!$D$2, B808=③資金配分!$D$1, B808=③資金配分!$D$2, C808=③資金配分!$D$1, C808=③資金配分!$D$2), 0, IF(OR(A808=③資金配分!$D$4, A808=③資金配分!$D$5, A808=③資金配分!$D$6, B808=③資金配分!$D$4, B808=③資金配分!$D$5, B808=③資金配分!$D$6, C808=③資金配分!$D$4, C808=③資金配分!$D$5, C808=③資金配分!$D$6), 0, IF(AND(③資金配分!$B$8&gt;0, G808&lt;=③資金配分!$B$8), 1, 0))))</f>
        <v>0</v>
      </c>
      <c r="I808">
        <f t="shared" si="25"/>
        <v>0</v>
      </c>
      <c r="J808">
        <f>IF(I808&gt;0, ROUND((I808 / SUM($I$2:$I$817)) * ③資金配分!$B$7, -2), 0)</f>
        <v>0</v>
      </c>
    </row>
    <row r="809" spans="1:10" x14ac:dyDescent="0.4">
      <c r="A809">
        <v>14</v>
      </c>
      <c r="B809">
        <v>15</v>
      </c>
      <c r="C809">
        <v>17</v>
      </c>
      <c r="D809">
        <f>IFERROR(IF(_xlfn.XLOOKUP(A809, ①オッズ入力!$A$2:$A$19, ①オッズ入力!$D$2:$D$19, "")="", 0, _xlfn.XLOOKUP(A809, ①オッズ入力!$A$2:$A$19, ①オッズ入力!$D$2:$D$19, 0)), 0)</f>
        <v>1.1525814968721322E-2</v>
      </c>
      <c r="E809">
        <f>IFERROR(IF(_xlfn.XLOOKUP(B809, ①オッズ入力!$A$2:$A$19, ①オッズ入力!$D$2:$D$19, "")="", 0, _xlfn.XLOOKUP(B809, ①オッズ入力!$A$2:$A$19, ①オッズ入力!$D$2:$D$19, 0)), 0)</f>
        <v>1.0697612695519792E-2</v>
      </c>
      <c r="F809">
        <f>IFERROR(IF(_xlfn.XLOOKUP(C809, ①オッズ入力!$A$2:$A$19, ①オッズ入力!$D$2:$D$19, "")="", 0, _xlfn.XLOOKUP(C809, ①オッズ入力!$A$2:$A$19, ①オッズ入力!$D$2:$D$19, 0)), 0)</f>
        <v>9.1615452315477186E-3</v>
      </c>
      <c r="G809">
        <f t="shared" si="24"/>
        <v>885263.903494086</v>
      </c>
      <c r="H809">
        <f>IF(G809="", 0, IF(OR(A809=③資金配分!$D$1, A809=③資金配分!$D$2, B809=③資金配分!$D$1, B809=③資金配分!$D$2, C809=③資金配分!$D$1, C809=③資金配分!$D$2), 0, IF(OR(A809=③資金配分!$D$4, A809=③資金配分!$D$5, A809=③資金配分!$D$6, B809=③資金配分!$D$4, B809=③資金配分!$D$5, B809=③資金配分!$D$6, C809=③資金配分!$D$4, C809=③資金配分!$D$5, C809=③資金配分!$D$6), 0, IF(AND(③資金配分!$B$8&gt;0, G809&lt;=③資金配分!$B$8), 1, 0))))</f>
        <v>0</v>
      </c>
      <c r="I809">
        <f t="shared" si="25"/>
        <v>0</v>
      </c>
      <c r="J809">
        <f>IF(I809&gt;0, ROUND((I809 / SUM($I$2:$I$817)) * ③資金配分!$B$7, -2), 0)</f>
        <v>0</v>
      </c>
    </row>
    <row r="810" spans="1:10" x14ac:dyDescent="0.4">
      <c r="A810">
        <v>14</v>
      </c>
      <c r="B810">
        <v>15</v>
      </c>
      <c r="C810">
        <v>18</v>
      </c>
      <c r="D810">
        <f>IFERROR(IF(_xlfn.XLOOKUP(A810, ①オッズ入力!$A$2:$A$19, ①オッズ入力!$D$2:$D$19, "")="", 0, _xlfn.XLOOKUP(A810, ①オッズ入力!$A$2:$A$19, ①オッズ入力!$D$2:$D$19, 0)), 0)</f>
        <v>1.1525814968721322E-2</v>
      </c>
      <c r="E810">
        <f>IFERROR(IF(_xlfn.XLOOKUP(B810, ①オッズ入力!$A$2:$A$19, ①オッズ入力!$D$2:$D$19, "")="", 0, _xlfn.XLOOKUP(B810, ①オッズ入力!$A$2:$A$19, ①オッズ入力!$D$2:$D$19, 0)), 0)</f>
        <v>1.0697612695519792E-2</v>
      </c>
      <c r="F810">
        <f>IFERROR(IF(_xlfn.XLOOKUP(C810, ①オッズ入力!$A$2:$A$19, ①オッズ入力!$D$2:$D$19, "")="", 0, _xlfn.XLOOKUP(C810, ①オッズ入力!$A$2:$A$19, ①オッズ入力!$D$2:$D$19, 0)), 0)</f>
        <v>8.5478532064679671E-3</v>
      </c>
      <c r="G810">
        <f t="shared" si="24"/>
        <v>948821.3119500716</v>
      </c>
      <c r="H810">
        <f>IF(G810="", 0, IF(OR(A810=③資金配分!$D$1, A810=③資金配分!$D$2, B810=③資金配分!$D$1, B810=③資金配分!$D$2, C810=③資金配分!$D$1, C810=③資金配分!$D$2), 0, IF(OR(A810=③資金配分!$D$4, A810=③資金配分!$D$5, A810=③資金配分!$D$6, B810=③資金配分!$D$4, B810=③資金配分!$D$5, B810=③資金配分!$D$6, C810=③資金配分!$D$4, C810=③資金配分!$D$5, C810=③資金配分!$D$6), 0, IF(AND(③資金配分!$B$8&gt;0, G810&lt;=③資金配分!$B$8), 1, 0))))</f>
        <v>0</v>
      </c>
      <c r="I810">
        <f t="shared" si="25"/>
        <v>0</v>
      </c>
      <c r="J810">
        <f>IF(I810&gt;0, ROUND((I810 / SUM($I$2:$I$817)) * ③資金配分!$B$7, -2), 0)</f>
        <v>0</v>
      </c>
    </row>
    <row r="811" spans="1:10" x14ac:dyDescent="0.4">
      <c r="A811">
        <v>14</v>
      </c>
      <c r="B811">
        <v>16</v>
      </c>
      <c r="C811">
        <v>17</v>
      </c>
      <c r="D811">
        <f>IFERROR(IF(_xlfn.XLOOKUP(A811, ①オッズ入力!$A$2:$A$19, ①オッズ入力!$D$2:$D$19, "")="", 0, _xlfn.XLOOKUP(A811, ①オッズ入力!$A$2:$A$19, ①オッズ入力!$D$2:$D$19, 0)), 0)</f>
        <v>1.1525814968721322E-2</v>
      </c>
      <c r="E811">
        <f>IFERROR(IF(_xlfn.XLOOKUP(B811, ①オッズ入力!$A$2:$A$19, ①オッズ入力!$D$2:$D$19, "")="", 0, _xlfn.XLOOKUP(B811, ①オッズ入力!$A$2:$A$19, ①オッズ入力!$D$2:$D$19, 0)), 0)</f>
        <v>9.8701730395127345E-3</v>
      </c>
      <c r="F811">
        <f>IFERROR(IF(_xlfn.XLOOKUP(C811, ①オッズ入力!$A$2:$A$19, ①オッズ入力!$D$2:$D$19, "")="", 0, _xlfn.XLOOKUP(C811, ①オッズ入力!$A$2:$A$19, ①オッズ入力!$D$2:$D$19, 0)), 0)</f>
        <v>9.1615452315477186E-3</v>
      </c>
      <c r="G811">
        <f t="shared" si="24"/>
        <v>959477.6439067641</v>
      </c>
      <c r="H811">
        <f>IF(G811="", 0, IF(OR(A811=③資金配分!$D$1, A811=③資金配分!$D$2, B811=③資金配分!$D$1, B811=③資金配分!$D$2, C811=③資金配分!$D$1, C811=③資金配分!$D$2), 0, IF(OR(A811=③資金配分!$D$4, A811=③資金配分!$D$5, A811=③資金配分!$D$6, B811=③資金配分!$D$4, B811=③資金配分!$D$5, B811=③資金配分!$D$6, C811=③資金配分!$D$4, C811=③資金配分!$D$5, C811=③資金配分!$D$6), 0, IF(AND(③資金配分!$B$8&gt;0, G811&lt;=③資金配分!$B$8), 1, 0))))</f>
        <v>0</v>
      </c>
      <c r="I811">
        <f t="shared" si="25"/>
        <v>0</v>
      </c>
      <c r="J811">
        <f>IF(I811&gt;0, ROUND((I811 / SUM($I$2:$I$817)) * ③資金配分!$B$7, -2), 0)</f>
        <v>0</v>
      </c>
    </row>
    <row r="812" spans="1:10" x14ac:dyDescent="0.4">
      <c r="A812">
        <v>14</v>
      </c>
      <c r="B812">
        <v>16</v>
      </c>
      <c r="C812">
        <v>18</v>
      </c>
      <c r="D812">
        <f>IFERROR(IF(_xlfn.XLOOKUP(A812, ①オッズ入力!$A$2:$A$19, ①オッズ入力!$D$2:$D$19, "")="", 0, _xlfn.XLOOKUP(A812, ①オッズ入力!$A$2:$A$19, ①オッズ入力!$D$2:$D$19, 0)), 0)</f>
        <v>1.1525814968721322E-2</v>
      </c>
      <c r="E812">
        <f>IFERROR(IF(_xlfn.XLOOKUP(B812, ①オッズ入力!$A$2:$A$19, ①オッズ入力!$D$2:$D$19, "")="", 0, _xlfn.XLOOKUP(B812, ①オッズ入力!$A$2:$A$19, ①オッズ入力!$D$2:$D$19, 0)), 0)</f>
        <v>9.8701730395127345E-3</v>
      </c>
      <c r="F812">
        <f>IFERROR(IF(_xlfn.XLOOKUP(C812, ①オッズ入力!$A$2:$A$19, ①オッズ入力!$D$2:$D$19, "")="", 0, _xlfn.XLOOKUP(C812, ①オッズ入力!$A$2:$A$19, ①オッズ入力!$D$2:$D$19, 0)), 0)</f>
        <v>8.5478532064679671E-3</v>
      </c>
      <c r="G812">
        <f t="shared" si="24"/>
        <v>1028363.2183410957</v>
      </c>
      <c r="H812">
        <f>IF(G812="", 0, IF(OR(A812=③資金配分!$D$1, A812=③資金配分!$D$2, B812=③資金配分!$D$1, B812=③資金配分!$D$2, C812=③資金配分!$D$1, C812=③資金配分!$D$2), 0, IF(OR(A812=③資金配分!$D$4, A812=③資金配分!$D$5, A812=③資金配分!$D$6, B812=③資金配分!$D$4, B812=③資金配分!$D$5, B812=③資金配分!$D$6, C812=③資金配分!$D$4, C812=③資金配分!$D$5, C812=③資金配分!$D$6), 0, IF(AND(③資金配分!$B$8&gt;0, G812&lt;=③資金配分!$B$8), 1, 0))))</f>
        <v>0</v>
      </c>
      <c r="I812">
        <f t="shared" si="25"/>
        <v>0</v>
      </c>
      <c r="J812">
        <f>IF(I812&gt;0, ROUND((I812 / SUM($I$2:$I$817)) * ③資金配分!$B$7, -2), 0)</f>
        <v>0</v>
      </c>
    </row>
    <row r="813" spans="1:10" x14ac:dyDescent="0.4">
      <c r="A813">
        <v>14</v>
      </c>
      <c r="B813">
        <v>17</v>
      </c>
      <c r="C813">
        <v>18</v>
      </c>
      <c r="D813">
        <f>IFERROR(IF(_xlfn.XLOOKUP(A813, ①オッズ入力!$A$2:$A$19, ①オッズ入力!$D$2:$D$19, "")="", 0, _xlfn.XLOOKUP(A813, ①オッズ入力!$A$2:$A$19, ①オッズ入力!$D$2:$D$19, 0)), 0)</f>
        <v>1.1525814968721322E-2</v>
      </c>
      <c r="E813">
        <f>IFERROR(IF(_xlfn.XLOOKUP(B813, ①オッズ入力!$A$2:$A$19, ①オッズ入力!$D$2:$D$19, "")="", 0, _xlfn.XLOOKUP(B813, ①オッズ入力!$A$2:$A$19, ①オッズ入力!$D$2:$D$19, 0)), 0)</f>
        <v>9.1615452315477186E-3</v>
      </c>
      <c r="F813">
        <f>IFERROR(IF(_xlfn.XLOOKUP(C813, ①オッズ入力!$A$2:$A$19, ①オッズ入力!$D$2:$D$19, "")="", 0, _xlfn.XLOOKUP(C813, ①オッズ入力!$A$2:$A$19, ①オッズ入力!$D$2:$D$19, 0)), 0)</f>
        <v>8.5478532064679671E-3</v>
      </c>
      <c r="G813">
        <f t="shared" si="24"/>
        <v>1107905.1247321195</v>
      </c>
      <c r="H813">
        <f>IF(G813="", 0, IF(OR(A813=③資金配分!$D$1, A813=③資金配分!$D$2, B813=③資金配分!$D$1, B813=③資金配分!$D$2, C813=③資金配分!$D$1, C813=③資金配分!$D$2), 0, IF(OR(A813=③資金配分!$D$4, A813=③資金配分!$D$5, A813=③資金配分!$D$6, B813=③資金配分!$D$4, B813=③資金配分!$D$5, B813=③資金配分!$D$6, C813=③資金配分!$D$4, C813=③資金配分!$D$5, C813=③資金配分!$D$6), 0, IF(AND(③資金配分!$B$8&gt;0, G813&lt;=③資金配分!$B$8), 1, 0))))</f>
        <v>0</v>
      </c>
      <c r="I813">
        <f t="shared" si="25"/>
        <v>0</v>
      </c>
      <c r="J813">
        <f>IF(I813&gt;0, ROUND((I813 / SUM($I$2:$I$817)) * ③資金配分!$B$7, -2), 0)</f>
        <v>0</v>
      </c>
    </row>
    <row r="814" spans="1:10" x14ac:dyDescent="0.4">
      <c r="A814">
        <v>15</v>
      </c>
      <c r="B814">
        <v>16</v>
      </c>
      <c r="C814">
        <v>17</v>
      </c>
      <c r="D814">
        <f>IFERROR(IF(_xlfn.XLOOKUP(A814, ①オッズ入力!$A$2:$A$19, ①オッズ入力!$D$2:$D$19, "")="", 0, _xlfn.XLOOKUP(A814, ①オッズ入力!$A$2:$A$19, ①オッズ入力!$D$2:$D$19, 0)), 0)</f>
        <v>1.0697612695519792E-2</v>
      </c>
      <c r="E814">
        <f>IFERROR(IF(_xlfn.XLOOKUP(B814, ①オッズ入力!$A$2:$A$19, ①オッズ入力!$D$2:$D$19, "")="", 0, _xlfn.XLOOKUP(B814, ①オッズ入力!$A$2:$A$19, ①オッズ入力!$D$2:$D$19, 0)), 0)</f>
        <v>9.8701730395127345E-3</v>
      </c>
      <c r="F814">
        <f>IFERROR(IF(_xlfn.XLOOKUP(C814, ①オッズ入力!$A$2:$A$19, ①オッズ入力!$D$2:$D$19, "")="", 0, _xlfn.XLOOKUP(C814, ①オッズ入力!$A$2:$A$19, ①オッズ入力!$D$2:$D$19, 0)), 0)</f>
        <v>9.1615452315477186E-3</v>
      </c>
      <c r="G814">
        <f t="shared" si="24"/>
        <v>1033759.7840801907</v>
      </c>
      <c r="H814">
        <f>IF(G814="", 0, IF(OR(A814=③資金配分!$D$1, A814=③資金配分!$D$2, B814=③資金配分!$D$1, B814=③資金配分!$D$2, C814=③資金配分!$D$1, C814=③資金配分!$D$2), 0, IF(OR(A814=③資金配分!$D$4, A814=③資金配分!$D$5, A814=③資金配分!$D$6, B814=③資金配分!$D$4, B814=③資金配分!$D$5, B814=③資金配分!$D$6, C814=③資金配分!$D$4, C814=③資金配分!$D$5, C814=③資金配分!$D$6), 0, IF(AND(③資金配分!$B$8&gt;0, G814&lt;=③資金配分!$B$8), 1, 0))))</f>
        <v>0</v>
      </c>
      <c r="I814">
        <f t="shared" si="25"/>
        <v>0</v>
      </c>
      <c r="J814">
        <f>IF(I814&gt;0, ROUND((I814 / SUM($I$2:$I$817)) * ③資金配分!$B$7, -2), 0)</f>
        <v>0</v>
      </c>
    </row>
    <row r="815" spans="1:10" x14ac:dyDescent="0.4">
      <c r="A815">
        <v>15</v>
      </c>
      <c r="B815">
        <v>16</v>
      </c>
      <c r="C815">
        <v>18</v>
      </c>
      <c r="D815">
        <f>IFERROR(IF(_xlfn.XLOOKUP(A815, ①オッズ入力!$A$2:$A$19, ①オッズ入力!$D$2:$D$19, "")="", 0, _xlfn.XLOOKUP(A815, ①オッズ入力!$A$2:$A$19, ①オッズ入力!$D$2:$D$19, 0)), 0)</f>
        <v>1.0697612695519792E-2</v>
      </c>
      <c r="E815">
        <f>IFERROR(IF(_xlfn.XLOOKUP(B815, ①オッズ入力!$A$2:$A$19, ①オッズ入力!$D$2:$D$19, "")="", 0, _xlfn.XLOOKUP(B815, ①オッズ入力!$A$2:$A$19, ①オッズ入力!$D$2:$D$19, 0)), 0)</f>
        <v>9.8701730395127345E-3</v>
      </c>
      <c r="F815">
        <f>IFERROR(IF(_xlfn.XLOOKUP(C815, ①オッズ入力!$A$2:$A$19, ①オッズ入力!$D$2:$D$19, "")="", 0, _xlfn.XLOOKUP(C815, ①オッズ入力!$A$2:$A$19, ①オッズ入力!$D$2:$D$19, 0)), 0)</f>
        <v>8.5478532064679671E-3</v>
      </c>
      <c r="G815">
        <f t="shared" si="24"/>
        <v>1107978.4352449225</v>
      </c>
      <c r="H815">
        <f>IF(G815="", 0, IF(OR(A815=③資金配分!$D$1, A815=③資金配分!$D$2, B815=③資金配分!$D$1, B815=③資金配分!$D$2, C815=③資金配分!$D$1, C815=③資金配分!$D$2), 0, IF(OR(A815=③資金配分!$D$4, A815=③資金配分!$D$5, A815=③資金配分!$D$6, B815=③資金配分!$D$4, B815=③資金配分!$D$5, B815=③資金配分!$D$6, C815=③資金配分!$D$4, C815=③資金配分!$D$5, C815=③資金配分!$D$6), 0, IF(AND(③資金配分!$B$8&gt;0, G815&lt;=③資金配分!$B$8), 1, 0))))</f>
        <v>0</v>
      </c>
      <c r="I815">
        <f t="shared" si="25"/>
        <v>0</v>
      </c>
      <c r="J815">
        <f>IF(I815&gt;0, ROUND((I815 / SUM($I$2:$I$817)) * ③資金配分!$B$7, -2), 0)</f>
        <v>0</v>
      </c>
    </row>
    <row r="816" spans="1:10" x14ac:dyDescent="0.4">
      <c r="A816">
        <v>15</v>
      </c>
      <c r="B816">
        <v>17</v>
      </c>
      <c r="C816">
        <v>18</v>
      </c>
      <c r="D816">
        <f>IFERROR(IF(_xlfn.XLOOKUP(A816, ①オッズ入力!$A$2:$A$19, ①オッズ入力!$D$2:$D$19, "")="", 0, _xlfn.XLOOKUP(A816, ①オッズ入力!$A$2:$A$19, ①オッズ入力!$D$2:$D$19, 0)), 0)</f>
        <v>1.0697612695519792E-2</v>
      </c>
      <c r="E816">
        <f>IFERROR(IF(_xlfn.XLOOKUP(B816, ①オッズ入力!$A$2:$A$19, ①オッズ入力!$D$2:$D$19, "")="", 0, _xlfn.XLOOKUP(B816, ①オッズ入力!$A$2:$A$19, ①オッズ入力!$D$2:$D$19, 0)), 0)</f>
        <v>9.1615452315477186E-3</v>
      </c>
      <c r="F816">
        <f>IFERROR(IF(_xlfn.XLOOKUP(C816, ①オッズ入力!$A$2:$A$19, ①オッズ入力!$D$2:$D$19, "")="", 0, _xlfn.XLOOKUP(C816, ①オッズ入力!$A$2:$A$19, ①オッズ入力!$D$2:$D$19, 0)), 0)</f>
        <v>8.5478532064679671E-3</v>
      </c>
      <c r="G816">
        <f t="shared" si="24"/>
        <v>1193678.4247113804</v>
      </c>
      <c r="H816">
        <f>IF(G816="", 0, IF(OR(A816=③資金配分!$D$1, A816=③資金配分!$D$2, B816=③資金配分!$D$1, B816=③資金配分!$D$2, C816=③資金配分!$D$1, C816=③資金配分!$D$2), 0, IF(OR(A816=③資金配分!$D$4, A816=③資金配分!$D$5, A816=③資金配分!$D$6, B816=③資金配分!$D$4, B816=③資金配分!$D$5, B816=③資金配分!$D$6, C816=③資金配分!$D$4, C816=③資金配分!$D$5, C816=③資金配分!$D$6), 0, IF(AND(③資金配分!$B$8&gt;0, G816&lt;=③資金配分!$B$8), 1, 0))))</f>
        <v>0</v>
      </c>
      <c r="I816">
        <f t="shared" si="25"/>
        <v>0</v>
      </c>
      <c r="J816">
        <f>IF(I816&gt;0, ROUND((I816 / SUM($I$2:$I$817)) * ③資金配分!$B$7, -2), 0)</f>
        <v>0</v>
      </c>
    </row>
    <row r="817" spans="1:10" x14ac:dyDescent="0.4">
      <c r="A817">
        <v>16</v>
      </c>
      <c r="B817">
        <v>17</v>
      </c>
      <c r="C817">
        <v>18</v>
      </c>
      <c r="D817">
        <f>IFERROR(IF(_xlfn.XLOOKUP(A817, ①オッズ入力!$A$2:$A$19, ①オッズ入力!$D$2:$D$19, "")="", 0, _xlfn.XLOOKUP(A817, ①オッズ入力!$A$2:$A$19, ①オッズ入力!$D$2:$D$19, 0)), 0)</f>
        <v>9.8701730395127345E-3</v>
      </c>
      <c r="E817">
        <f>IFERROR(IF(_xlfn.XLOOKUP(B817, ①オッズ入力!$A$2:$A$19, ①オッズ入力!$D$2:$D$19, "")="", 0, _xlfn.XLOOKUP(B817, ①オッズ入力!$A$2:$A$19, ①オッズ入力!$D$2:$D$19, 0)), 0)</f>
        <v>9.1615452315477186E-3</v>
      </c>
      <c r="F817">
        <f>IFERROR(IF(_xlfn.XLOOKUP(C817, ①オッズ入力!$A$2:$A$19, ①オッズ入力!$D$2:$D$19, "")="", 0, _xlfn.XLOOKUP(C817, ①オッズ入力!$A$2:$A$19, ①オッズ入力!$D$2:$D$19, 0)), 0)</f>
        <v>8.5478532064679671E-3</v>
      </c>
      <c r="G817">
        <f t="shared" si="24"/>
        <v>1293747.274687185</v>
      </c>
      <c r="H817">
        <f>IF(G817="", 0, IF(OR(A817=③資金配分!$D$1, A817=③資金配分!$D$2, B817=③資金配分!$D$1, B817=③資金配分!$D$2, C817=③資金配分!$D$1, C817=③資金配分!$D$2), 0, IF(OR(A817=③資金配分!$D$4, A817=③資金配分!$D$5, A817=③資金配分!$D$6, B817=③資金配分!$D$4, B817=③資金配分!$D$5, B817=③資金配分!$D$6, C817=③資金配分!$D$4, C817=③資金配分!$D$5, C817=③資金配分!$D$6), 0, IF(AND(③資金配分!$B$8&gt;0, G817&lt;=③資金配分!$B$8), 1, 0))))</f>
        <v>0</v>
      </c>
      <c r="I817">
        <f t="shared" si="25"/>
        <v>0</v>
      </c>
      <c r="J817">
        <f>IF(I817&gt;0, ROUND((I817 / SUM($I$2:$I$817)) * ③資金配分!$B$7, -2), 0)</f>
        <v>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E562-3975-4CF7-8725-36ECED9B3D56}">
  <dimension ref="A1:D8"/>
  <sheetViews>
    <sheetView workbookViewId="0">
      <selection activeCell="A9" sqref="A9"/>
    </sheetView>
  </sheetViews>
  <sheetFormatPr defaultRowHeight="18.75" x14ac:dyDescent="0.4"/>
  <cols>
    <col min="1" max="1" width="22.25" customWidth="1"/>
    <col min="2" max="2" width="14.125" customWidth="1"/>
    <col min="3" max="3" width="15.375" customWidth="1"/>
    <col min="4" max="4" width="18.625" customWidth="1"/>
  </cols>
  <sheetData>
    <row r="1" spans="1:4" ht="18.75" customHeight="1" x14ac:dyDescent="0.4">
      <c r="A1" s="2" t="s">
        <v>7</v>
      </c>
      <c r="B1">
        <v>1000000</v>
      </c>
      <c r="C1" t="s">
        <v>14</v>
      </c>
      <c r="D1">
        <f>IFERROR(INDEX(①オッズ入力!$A$2:$A$19, MATCH(SMALL(①オッズ入力!$B$2:$B$19, 1), ①オッズ入力!$B$2:$B$19, 0)), "")</f>
        <v>1</v>
      </c>
    </row>
    <row r="2" spans="1:4" ht="18.75" customHeight="1" x14ac:dyDescent="0.4">
      <c r="A2" t="s">
        <v>8</v>
      </c>
      <c r="B2">
        <v>1000</v>
      </c>
      <c r="C2" t="s">
        <v>15</v>
      </c>
      <c r="D2">
        <f>IFERROR(INDEX(①オッズ入力!$A$2:$A$19, MATCH(SMALL(①オッズ入力!$B$2:$B$19, 2), ①オッズ入力!$B$2:$B$19, 0)), "")</f>
        <v>2</v>
      </c>
    </row>
    <row r="3" spans="1:4" ht="18.75" customHeight="1" x14ac:dyDescent="0.4">
      <c r="A3" t="s">
        <v>9</v>
      </c>
      <c r="B3">
        <f>IFERROR(INDEX(①オッズ入力!$A$2:$A$19, MATCH(SMALL(①オッズ入力!$B$2:$B$19, 3), ①オッズ入力!$B$2:$B$19, 0)), "")</f>
        <v>3</v>
      </c>
    </row>
    <row r="4" spans="1:4" ht="18.75" customHeight="1" x14ac:dyDescent="0.4">
      <c r="A4" t="s">
        <v>10</v>
      </c>
      <c r="B4">
        <f>_xlfn.XLOOKUP(B3, ①オッズ入力!$A$2:$A$19, ①オッズ入力!$B$2:$B$19, 0)</f>
        <v>2.1</v>
      </c>
      <c r="C4" t="s">
        <v>16</v>
      </c>
      <c r="D4" cm="1">
        <f t="array" ref="D4">IFERROR(INDEX(_xlfn.SORTBY(①オッズ入力!$A$2:$A$19, ①オッズ入力!$B$2:$B$19, -1), 1), "")</f>
        <v>18</v>
      </c>
    </row>
    <row r="5" spans="1:4" ht="18.75" customHeight="1" x14ac:dyDescent="0.4">
      <c r="A5" t="s">
        <v>11</v>
      </c>
      <c r="B5">
        <f>SUM(②三連複計算!$H$2:$H$817)</f>
        <v>0</v>
      </c>
      <c r="C5" t="s">
        <v>17</v>
      </c>
      <c r="D5" cm="1">
        <f t="array" ref="D5">IFERROR(INDEX(_xlfn.SORTBY(①オッズ入力!$A$2:$A$19, ①オッズ入力!$B$2:$B$19, -1), 2), "")</f>
        <v>17</v>
      </c>
    </row>
    <row r="6" spans="1:4" ht="18.75" customHeight="1" x14ac:dyDescent="0.4">
      <c r="A6" t="s">
        <v>12</v>
      </c>
      <c r="B6">
        <f>IF(B4&gt;1, ROUND(B1/B4, -2), 0)</f>
        <v>476200</v>
      </c>
      <c r="C6" t="s">
        <v>18</v>
      </c>
      <c r="D6" cm="1">
        <f t="array" ref="D6">IFERROR(INDEX(_xlfn.SORTBY(①オッズ入力!$A$2:$A$19, ①オッズ入力!$B$2:$B$19, -1), 3), "")</f>
        <v>16</v>
      </c>
    </row>
    <row r="7" spans="1:4" ht="18.75" customHeight="1" x14ac:dyDescent="0.4">
      <c r="A7" t="s">
        <v>13</v>
      </c>
      <c r="B7">
        <f>B1 - B6</f>
        <v>523800</v>
      </c>
    </row>
    <row r="8" spans="1:4" ht="18.75" customHeight="1" x14ac:dyDescent="0.4">
      <c r="A8" t="s">
        <v>19</v>
      </c>
      <c r="B8">
        <f>_xlfn.MAXIFS(②三連複計算!$G$2:$G$817, ②三連複計算!$G$2:$G$817, "&lt;="&amp;B2, ②三連複計算!$H$2:$H$817, 1)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①オッズ入力</vt:lpstr>
      <vt:lpstr>②三連複計算</vt:lpstr>
      <vt:lpstr>③資金配分</vt:lpstr>
    </vt:vector>
  </TitlesOfParts>
  <Company>JWAY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牛来 勝仁</dc:creator>
  <cp:lastModifiedBy>牛来 勝仁</cp:lastModifiedBy>
  <dcterms:created xsi:type="dcterms:W3CDTF">2026-06-17T06:35:54Z</dcterms:created>
  <dcterms:modified xsi:type="dcterms:W3CDTF">2026-06-17T07:50:44Z</dcterms:modified>
</cp:coreProperties>
</file>